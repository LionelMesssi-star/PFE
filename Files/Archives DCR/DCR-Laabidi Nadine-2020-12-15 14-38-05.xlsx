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28" i="1" l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2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3" i="1"/>
  <c r="K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3" i="1"/>
  <c r="J2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F686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4" i="1"/>
  <c r="F413" i="1"/>
  <c r="F412" i="1"/>
  <c r="F411" i="1"/>
  <c r="F410" i="1"/>
  <c r="F409" i="1"/>
  <c r="F408" i="1"/>
  <c r="F407" i="1"/>
  <c r="F405" i="1"/>
  <c r="F404" i="1"/>
  <c r="F403" i="1"/>
  <c r="F402" i="1"/>
  <c r="F401" i="1"/>
  <c r="F400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5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2" i="1"/>
  <c r="F61" i="1"/>
  <c r="F60" i="1"/>
  <c r="F59" i="1"/>
  <c r="F58" i="1"/>
  <c r="F57" i="1"/>
  <c r="F56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2" i="1"/>
</calcChain>
</file>

<file path=xl/sharedStrings.xml><?xml version="1.0" encoding="utf-8"?>
<sst xmlns="http://schemas.openxmlformats.org/spreadsheetml/2006/main" count="2750" uniqueCount="2065">
  <si>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</si>
  <si>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</si>
  <si>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</si>
  <si>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</si>
  <si>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</si>
  <si>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</si>
  <si>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</si>
  <si>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</si>
  <si>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 xml:space="preserve">AR 19/14 </t>
  </si>
  <si>
    <t>R1914-RPT-GE-00-001</t>
  </si>
  <si>
    <t>123-C01R-G80-22RA-GA-001</t>
  </si>
  <si>
    <t>Design Basis Report</t>
  </si>
  <si>
    <t>R1914-RPT-GE-00-017</t>
  </si>
  <si>
    <t>123-C01R-G80-22RA-GA-002</t>
  </si>
  <si>
    <t>DESCRIPTION OF NEW MARITIME INFLUENT LINE</t>
  </si>
  <si>
    <t>AR 19/14</t>
  </si>
  <si>
    <t>R1914-RPT-GE-00-002</t>
  </si>
  <si>
    <t>123-C01R-GB3-22RA-GA-001</t>
  </si>
  <si>
    <t xml:space="preserve">Design Breakdown Plan </t>
  </si>
  <si>
    <t>R1914-RPT-GE-00-003</t>
  </si>
  <si>
    <t>123-C01R-GB3-22RA-GA-002</t>
  </si>
  <si>
    <t xml:space="preserve">Detailed Design Breakdown Plan </t>
  </si>
  <si>
    <t>R1914-RPT-GE-00-004</t>
  </si>
  <si>
    <t>123-C01R-BEDD-22RA-GA-001</t>
  </si>
  <si>
    <t>Basic Engineering Design Data (BEDD)</t>
  </si>
  <si>
    <t>R1914-RPT-GE-00-005</t>
  </si>
  <si>
    <t>123-C01R-QMS-22RA-GA-001</t>
  </si>
  <si>
    <t>Dsign QMS PLAN</t>
  </si>
  <si>
    <t>R1914-RPT-GE-00-006</t>
  </si>
  <si>
    <t>123-C01R-G01-22RA-GA-001</t>
  </si>
  <si>
    <t>Engineering Execution Plan</t>
  </si>
  <si>
    <t>R1914-CLC-ME-00-001</t>
  </si>
  <si>
    <t>123-C01R-G65-22RA-SE-001</t>
  </si>
  <si>
    <t>TIE tanks calculation note</t>
  </si>
  <si>
    <t>R1914-SPC-ME-00-001</t>
  </si>
  <si>
    <t>123-C01R-G65-22RA-SE-002</t>
  </si>
  <si>
    <t>TIE tanks specification</t>
  </si>
  <si>
    <t>R1914-CLC-CV-00-050</t>
  </si>
  <si>
    <t>123-C01R-CALC-22RA-CA-100</t>
  </si>
  <si>
    <t>TIE tanks Foundation calculation note</t>
  </si>
  <si>
    <t>R1914-DWG-ME-00-003</t>
  </si>
  <si>
    <t>123-350-22RA-SE-001</t>
  </si>
  <si>
    <t>TIE tanks arrangement</t>
  </si>
  <si>
    <t>R1914-DWG-CV-00-001</t>
  </si>
  <si>
    <t>TIE-1 Storage Tank foundation plan, sections &amp; details</t>
  </si>
  <si>
    <t>R1914-DWG-CV-00-002</t>
  </si>
  <si>
    <t>123-350-22RA-SE-003</t>
  </si>
  <si>
    <t>TIE-2 Storage Tank foundation plan, sections &amp; details</t>
  </si>
  <si>
    <t>R1914-SPC-PC-00-001</t>
  </si>
  <si>
    <t>123-C01R-G65-22RA-EA-001</t>
  </si>
  <si>
    <t>Cathodic protection specification</t>
  </si>
  <si>
    <t>R1914-CLC-PC-00-001</t>
  </si>
  <si>
    <t>123-C01R-G65-22RA-EA-002</t>
  </si>
  <si>
    <t xml:space="preserve">Cathodic Protection Calculation for External Tank Bottom  </t>
  </si>
  <si>
    <t>R1914-CLC-PC-00-002</t>
  </si>
  <si>
    <t>123-C01R-G65-22RA-EA-003</t>
  </si>
  <si>
    <t>Cathodic Protection Calculation for Tank Internals</t>
  </si>
  <si>
    <t>R1914-DSH-PC-00-001</t>
  </si>
  <si>
    <t>123-C01R-G65-22RA-EA-004</t>
  </si>
  <si>
    <t>DATA SHEET FOR TRANSFORMER RECTIFIER</t>
  </si>
  <si>
    <t>R1914-DWG-PC-00-001</t>
  </si>
  <si>
    <t>123-410-22RA-EE-200</t>
  </si>
  <si>
    <t xml:space="preserve">CATHODIC PROTECTION SYSTEM LAYOUT FOR TANK </t>
  </si>
  <si>
    <t>R1914-DWG-PC-00-002</t>
  </si>
  <si>
    <t>123-410-22RA-EE-201</t>
  </si>
  <si>
    <t>Suspended Anodes Installation Details for Tank Internals</t>
  </si>
  <si>
    <t>R1914-DWG-PC-00-005</t>
  </si>
  <si>
    <t>123-410-22RA-EE-204</t>
  </si>
  <si>
    <t>Anode ribbon &amp; conducteur bar installation layout for tank 401A</t>
  </si>
  <si>
    <t>R1914-DWG-PC-00-006</t>
  </si>
  <si>
    <t>123-410-22RA-EE-205</t>
  </si>
  <si>
    <t>Anode ribbon &amp; conducteur bar installation layout for tank 401B</t>
  </si>
  <si>
    <t>R1914-DWG-PC-00-007</t>
  </si>
  <si>
    <t>123-410-22RA-EE-206</t>
  </si>
  <si>
    <t>Typical installation detail of acces tube for tank 401 &amp; 401B - I</t>
  </si>
  <si>
    <t>R1914-DWG-PC-00-008</t>
  </si>
  <si>
    <t>123-410-22RA-EE-207</t>
  </si>
  <si>
    <t>Typical installation detail of acces tube for tank 401 &amp; 401B - II</t>
  </si>
  <si>
    <t>R1914-DWG-PC-00-009</t>
  </si>
  <si>
    <t>123-410-22RA-EE-208</t>
  </si>
  <si>
    <t>Typical terminal anode junction box and steel support detail for tank 401A et 401B</t>
  </si>
  <si>
    <t>R1914-DWG-PC-00-010</t>
  </si>
  <si>
    <t>123-410-22RA-EE-209</t>
  </si>
  <si>
    <t>Typical terminal test junction box and steel support detail for tank 401A et 401B</t>
  </si>
  <si>
    <t>R1914-DWG-PC-00-004</t>
  </si>
  <si>
    <t>123-410-22RA-EE-203</t>
  </si>
  <si>
    <t xml:space="preserve">Wiring Schematic for Cathodic Protection System for External Tank Bottom </t>
  </si>
  <si>
    <t>R1914-SPC-ME-00-002</t>
  </si>
  <si>
    <t>123-C01R-G65-22RA-PE-001</t>
  </si>
  <si>
    <t>Specification Centrifugal pumps</t>
  </si>
  <si>
    <t>R1914-SPC-ME-00-003</t>
  </si>
  <si>
    <t>123-C01R-G65-22RA-PE-002</t>
  </si>
  <si>
    <t>Specification Subumersibbe Centrifugal pumps</t>
  </si>
  <si>
    <t>R1914-SPC-ME-00-005</t>
  </si>
  <si>
    <t>123-C01R-G65-22RA-PE-005</t>
  </si>
  <si>
    <t>Specification penstock valve</t>
  </si>
  <si>
    <t>R1914-SPC-ME-00-006</t>
  </si>
  <si>
    <t>123-C01R-G65-22RA-PE-006</t>
  </si>
  <si>
    <t>Specification cranes</t>
  </si>
  <si>
    <t>R1914-SPC-ME-00-007</t>
  </si>
  <si>
    <t>123-C01R-G65-22RA-PE-007</t>
  </si>
  <si>
    <t>Specification basket screens</t>
  </si>
  <si>
    <t>R1914-SPC-ME-00-008</t>
  </si>
  <si>
    <t>123-C01R-G65-22RA-PE-008</t>
  </si>
  <si>
    <t>Specification mechanical screens</t>
  </si>
  <si>
    <t>R1914-SPC-ME-00-009</t>
  </si>
  <si>
    <t>123-C01R-G65-22RA-PE-009</t>
  </si>
  <si>
    <t>Specification manual bar screens</t>
  </si>
  <si>
    <t>R1914-SPC-ME-00-011</t>
  </si>
  <si>
    <t>123-C01R-G65-22RA-PE-011</t>
  </si>
  <si>
    <t xml:space="preserve">Specification grit classifier </t>
  </si>
  <si>
    <t>R1914-SPC-ME-00-012</t>
  </si>
  <si>
    <t>123-C01R-G65-22RA-PE-012</t>
  </si>
  <si>
    <t>Specification clarifiers</t>
  </si>
  <si>
    <t>R1914-SPC-ME-00-013</t>
  </si>
  <si>
    <t>123-C01R-G65-22RA-PE-013</t>
  </si>
  <si>
    <t>Specification chemical injection skid systems</t>
  </si>
  <si>
    <t>R1914-SPC-ME-00-014</t>
  </si>
  <si>
    <t>123-C01R-G65-22RA-PE-014</t>
  </si>
  <si>
    <t>Specification Disc filters</t>
  </si>
  <si>
    <t>R1914-SPC-ME-00-017</t>
  </si>
  <si>
    <t>123-C01R-G65-22RA-PE-017</t>
  </si>
  <si>
    <t>Specification filter press</t>
  </si>
  <si>
    <t>R1914-SPC-ME-00-019</t>
  </si>
  <si>
    <t>123-C01R-G65-22RA-PE-019</t>
  </si>
  <si>
    <t>Specification air compressor</t>
  </si>
  <si>
    <t>R1914-SPC-ME-00-020</t>
  </si>
  <si>
    <t>123-C01R-G65-22RA-PE-020</t>
  </si>
  <si>
    <t>Specification Diesel generator tank</t>
  </si>
  <si>
    <t>R1914-SPC-ME-00-022</t>
  </si>
  <si>
    <t>123-C01R-G65-22RA-PE-022</t>
  </si>
  <si>
    <t>Piping specification</t>
  </si>
  <si>
    <t>R1914-SPC-ME-00-023</t>
  </si>
  <si>
    <t>123-C01R-G65-22RA-PE-023</t>
  </si>
  <si>
    <t>Pipng class specification</t>
  </si>
  <si>
    <t>R1914-SPC-ME-00-024</t>
  </si>
  <si>
    <t>123-C01R-G65-22RA-PE-024</t>
  </si>
  <si>
    <t>Valves specification</t>
  </si>
  <si>
    <t>R1914-SPC-ME-00-025</t>
  </si>
  <si>
    <t>123-C01R-G65-22RA-PE-025</t>
  </si>
  <si>
    <t>Corrosion Protection and material selection Report</t>
  </si>
  <si>
    <t>R1914-SPC-ME-00-027</t>
  </si>
  <si>
    <t>123-C01R-G65-22RA-PE-026</t>
  </si>
  <si>
    <t>Specification agitator</t>
  </si>
  <si>
    <t>R1914-SPC-ME-00-028</t>
  </si>
  <si>
    <t>123-C01R-G65-22RA-PE-042</t>
  </si>
  <si>
    <t>Specification Grit Separator</t>
  </si>
  <si>
    <t>R1914-SPC-ME-00-030</t>
  </si>
  <si>
    <t>123-C01R-G65-22RA-PE-051</t>
  </si>
  <si>
    <t>SPECIFICATION FOR PROGRESSIVE CAVITY PUMPS</t>
  </si>
  <si>
    <t>R1914-DSH-ME-00-001</t>
  </si>
  <si>
    <t>123-C01R-G65-22RA-PE-043</t>
  </si>
  <si>
    <t>Containers Data sheet</t>
  </si>
  <si>
    <t>R1914-DSH-ME-00-003</t>
  </si>
  <si>
    <t>123-C01R-G65-22RA-PE-045</t>
  </si>
  <si>
    <t>Diesel pumps Data sheet</t>
  </si>
  <si>
    <t>R1914-DSH-ME-00-004</t>
  </si>
  <si>
    <t>123-C01R-G65-22RA-PE-046</t>
  </si>
  <si>
    <t>sludge conditionning tank  Data sheet</t>
  </si>
  <si>
    <t>R1914-DSH-ME-00-005</t>
  </si>
  <si>
    <t>123-C01R-G65-22RA-PE-047</t>
  </si>
  <si>
    <t>flame arrestor  Data sheet</t>
  </si>
  <si>
    <t>R1914-DSH-ME-00-007</t>
  </si>
  <si>
    <t>123-C01R-G65-22RA-PE-049</t>
  </si>
  <si>
    <t>Wash WATER SKID DATA SHEET</t>
  </si>
  <si>
    <t>R1914-DSH-ME-00-008</t>
  </si>
  <si>
    <t>123-C01R-G65-22RA-PE-052</t>
  </si>
  <si>
    <t>Potable water Skid DATA SHEET</t>
  </si>
  <si>
    <t>R1914-DSH-ME-00-009</t>
  </si>
  <si>
    <t>123-C01R-G65-22RA-PE-053</t>
  </si>
  <si>
    <t xml:space="preserve"> FLEXIBLE CONNECTOR DATA SHEET</t>
  </si>
  <si>
    <t>R1914-CLC-PR-00-001</t>
  </si>
  <si>
    <t>123-C01R-G65-22RA-PE-035</t>
  </si>
  <si>
    <t>Process calculation note</t>
  </si>
  <si>
    <t>R1914-CLC-PR-00-002</t>
  </si>
  <si>
    <t>123-C01R-G65-22RA-PE-036</t>
  </si>
  <si>
    <t>Utilities sizing calculation notes</t>
  </si>
  <si>
    <t>R1914-CLC-PR-00-003</t>
  </si>
  <si>
    <t>123-C01R-G65-22RA-PE-037</t>
  </si>
  <si>
    <t>Line Sizing Report</t>
  </si>
  <si>
    <t>R1914-CLC-PR-00-004</t>
  </si>
  <si>
    <t>123-C01R-G65-22RA-PE-038</t>
  </si>
  <si>
    <t>Hydraulic Design Calculation Repport</t>
  </si>
  <si>
    <t>R1914-LIS-PR-00-001</t>
  </si>
  <si>
    <t>123-C01R-G65-22RA-PE-039</t>
  </si>
  <si>
    <t>Process and utilities Line List</t>
  </si>
  <si>
    <t>R1914-LIS-PR-00-002</t>
  </si>
  <si>
    <t>123-C01R-G65-22RA-PE-040</t>
  </si>
  <si>
    <t>Process and utilities Equipement list</t>
  </si>
  <si>
    <t>R1914-LIS-PR-00-003</t>
  </si>
  <si>
    <t>123-C01R-G65-22RA-PE-041</t>
  </si>
  <si>
    <t>Utility consumption tables</t>
  </si>
  <si>
    <t>R1914-RPT-PR-00-002</t>
  </si>
  <si>
    <t xml:space="preserve"> 123-C01R-G65-22RA-PE-060</t>
  </si>
  <si>
    <t>PERFORMANCE TEST AND RELIABILITY RUN
PROCEDURE</t>
  </si>
  <si>
    <t>R1914-DWG-PR-00-003</t>
  </si>
  <si>
    <t>123-350-22RA-PE-003</t>
  </si>
  <si>
    <t>PROCESS FLOW DIAGRAM + MATIRIAL BALANCE - LIQUID STREAM I</t>
  </si>
  <si>
    <t>R1914-DWG-PR-00-004</t>
  </si>
  <si>
    <t>123-350-22RA-PE-004</t>
  </si>
  <si>
    <t>PROCESS FLOW DIAGRAM + MATIRIAL BALANCE - LIQUID STREAM II</t>
  </si>
  <si>
    <t>R1914-DWG-PR-00-005</t>
  </si>
  <si>
    <t>123-350-22RA-PE-005</t>
  </si>
  <si>
    <t>PROCESS FLOW DIAGRAM + MATIRIAL BALANCE- SOLIDS STREAM I</t>
  </si>
  <si>
    <t>R1914-DWG-PR-00-006</t>
  </si>
  <si>
    <t>123-350-22RA-PE-006</t>
  </si>
  <si>
    <t>PROCESS FLOW DIAGRAM - + MATIRIAL BALANCE SOLIDS STREAM II</t>
  </si>
  <si>
    <t>R1914-DWG-PR-00-007</t>
  </si>
  <si>
    <t>123-350-22RA-PE-007</t>
  </si>
  <si>
    <t>PROCESS FLOW DIAGRAM - SULFIDE PRECIPITANT STORAGE AND FEED SYSTEM + MATIRIAL BALANCE</t>
  </si>
  <si>
    <t>R1914-DWG-PR-00-008</t>
  </si>
  <si>
    <t>123-350-22RA-PE-008</t>
  </si>
  <si>
    <t>PROCESS FLOW DIAGRAM - POLYMER FEED SYSTEM FOR PRIMARY TREATMENT + MATIRIAL BALANCE</t>
  </si>
  <si>
    <t>R1914-DWG-PR-00-010</t>
  </si>
  <si>
    <t>123-350-22RA-PE-010</t>
  </si>
  <si>
    <t>PROCESS FLOW DIAGRAM - HYDRATED LIME STORAGE AND FEED SYSTEM + MATIRIAL BALANCE</t>
  </si>
  <si>
    <t>R1914-DWG-PR-00-011</t>
  </si>
  <si>
    <t>123-350-22RA-PE-011</t>
  </si>
  <si>
    <t>PROCESS FLOW DIAGRAM - CARBON DIOXIDE STORAGE AND FEED SYSTEM + MATIRIAL BALANCE</t>
  </si>
  <si>
    <t>R1914-DWG-PR-00-012</t>
  </si>
  <si>
    <t>123-350-22RA-PE-012</t>
  </si>
  <si>
    <t>PROCESS FLOW DIAGRAM - ALUM STORAGE AND FEED SYSTEM + MATIRIAL BALANCE</t>
  </si>
  <si>
    <t>R1914-DWG-PR-00-013</t>
  </si>
  <si>
    <t>123-350-22RA-PE-013</t>
  </si>
  <si>
    <t>PROCESS HYDRAULIC GRADE LINE</t>
  </si>
  <si>
    <t>R1914-DWG-PR-00-014</t>
  </si>
  <si>
    <t>123-350-22RA-PE-014</t>
  </si>
  <si>
    <t>Istrumentation LEGEND, SYMBOLS AND ABREVIATION I</t>
  </si>
  <si>
    <t>R1914-DWG-PR-00-015</t>
  </si>
  <si>
    <t>123-350-22RA-PE-015</t>
  </si>
  <si>
    <t>Istrumentation LEGEND, SYMBOLS AND ABREVIATION II</t>
  </si>
  <si>
    <t>R1914-DWG-PR-00-016</t>
  </si>
  <si>
    <t>123-350-22RA-PE-016</t>
  </si>
  <si>
    <t>Istrumentation P&amp;ID - IFLUENT PUMPING</t>
  </si>
  <si>
    <t>R1914-DWG-PR-00-017</t>
  </si>
  <si>
    <t>123-350-22RA-PE-017</t>
  </si>
  <si>
    <t>Istrumentation P&amp;ID - PRELIMINARY TRETMENT SCREEN &amp; DEGRIT</t>
  </si>
  <si>
    <t>R1914-DWG-PR-00-018</t>
  </si>
  <si>
    <t>123-350-22RA-PE-018</t>
  </si>
  <si>
    <t>Istrumentation P&amp;ID - PRELIMINARY TRETMENT EQUALIZATION AND INTERMEDIATE PUMPS</t>
  </si>
  <si>
    <t>R1914-DWG-PR-00-019</t>
  </si>
  <si>
    <t>123-350-22RA-PE-019</t>
  </si>
  <si>
    <t>Istrumentation P&amp;ID - PRIMARY TREATMENT PRIMARY CLARIFIERS 1 ,2,3AND 4</t>
  </si>
  <si>
    <t>R1914-DWG-PR-00-021</t>
  </si>
  <si>
    <t xml:space="preserve"> 123-350-22RA-PE-020</t>
  </si>
  <si>
    <t>Istrumentation P&amp;ID - SECONDARY TREATMENT SECONDARY MIXING TANKS</t>
  </si>
  <si>
    <t>R1914-DWG-PR-00-022</t>
  </si>
  <si>
    <t>123-350-22RA-PE-021</t>
  </si>
  <si>
    <t>Istrumentation P&amp;ID - SECONDARY TREATMENT SECONDARY CLARIFIERS 1 ,2,3 AND 4</t>
  </si>
  <si>
    <t>R1914-DWG-PR-00-024</t>
  </si>
  <si>
    <t xml:space="preserve">    123-350-22RA-PE-022</t>
  </si>
  <si>
    <t>Istrumentation P&amp;ID - FILTRATION</t>
  </si>
  <si>
    <t>R1914-DWG-PR-00-025</t>
  </si>
  <si>
    <t xml:space="preserve">     123-350-22RA-PE-023</t>
  </si>
  <si>
    <t>Istrumentation P&amp;ID - CHLORINE DISINFECTION</t>
  </si>
  <si>
    <t>R1914-DWG-PR-00-026</t>
  </si>
  <si>
    <t xml:space="preserve">    123-350-22RA-PE-024</t>
  </si>
  <si>
    <t xml:space="preserve">Istrumentation P&amp;ID - EFFLUENT STORAGE AND PUMPING STATION </t>
  </si>
  <si>
    <t>R1914-DWG-PR-00-027</t>
  </si>
  <si>
    <t xml:space="preserve">    123-350-22RA-PE-025 </t>
  </si>
  <si>
    <t>Istrumentation P&amp;ID - DEWATERING SLUDGE TRANSFER STATION</t>
  </si>
  <si>
    <t>R1914-DWG-PR-00-028</t>
  </si>
  <si>
    <t xml:space="preserve">    123-350-22RA-PE-026</t>
  </si>
  <si>
    <t>Istrumentation P&amp;ID - DEWATERING</t>
  </si>
  <si>
    <t>R1914-DWG-PR-00-029</t>
  </si>
  <si>
    <t xml:space="preserve">    123-350-22RA-PE-027</t>
  </si>
  <si>
    <t>Istrumentation P&amp;ID - EMERGENCY STORAGE LAGOON AND DRAINAGE PUMPING STATION</t>
  </si>
  <si>
    <t>R1914-DWG-PR-00-030</t>
  </si>
  <si>
    <t xml:space="preserve">    123-350-22RA-PE-028</t>
  </si>
  <si>
    <t xml:space="preserve"> Piping &amp; Istrumentation  Diagram for -Sodium Sulphide Preparation &amp; Dosing  SYSTEM</t>
  </si>
  <si>
    <t>R1914-DWG-PR-00-031</t>
  </si>
  <si>
    <t xml:space="preserve">     123-350-22RA-PE-029</t>
  </si>
  <si>
    <t xml:space="preserve"> Piping &amp; Istrumentation Diagram for  POLYMER  Preparation &amp; Dosing  SYSTEM</t>
  </si>
  <si>
    <t>R1914-DWG-PR-00-033</t>
  </si>
  <si>
    <t xml:space="preserve">    123-350-22RA-PE-031</t>
  </si>
  <si>
    <t>Piping &amp; Istrumentation  Diagram for - LIME DOSING  SYSTEM</t>
  </si>
  <si>
    <t>R1914-DWG-PR-00-034</t>
  </si>
  <si>
    <t xml:space="preserve">     123-350-22RA-PE-032</t>
  </si>
  <si>
    <t>Istrumentation P&amp;ID  - LIME FEED SYSTEM II</t>
  </si>
  <si>
    <t>R1914-DWG-PR-00-035</t>
  </si>
  <si>
    <t xml:space="preserve">     123-350-22RA-PE-033</t>
  </si>
  <si>
    <t xml:space="preserve">  Piping &amp; Istrumentation Diagram for - CARBON DIOXIDE               ACIDIFICATION SYSTEM I</t>
  </si>
  <si>
    <t>R1914-DWG-PR-00-036</t>
  </si>
  <si>
    <t xml:space="preserve">    123-350-22RA-PE-034</t>
  </si>
  <si>
    <t xml:space="preserve">  Piping &amp; Istrumentation Diagram for - CARBON DIOXIDE               ACIDIFICATION SYSTEM II</t>
  </si>
  <si>
    <t>R1914-DWG-PR-00-037</t>
  </si>
  <si>
    <t xml:space="preserve">       123-350-22RA-PE-035</t>
  </si>
  <si>
    <t>Istrumentation P&amp;ID - CARBON DIOXIDE FEED SYSTEM III</t>
  </si>
  <si>
    <t>R1914-DWG-PR-00-038</t>
  </si>
  <si>
    <t xml:space="preserve">    123-350-22RA-PE-036</t>
  </si>
  <si>
    <t xml:space="preserve"> Piping &amp; Istrumentation Diagram for  - ALUM Preparation &amp; Dosing  SYSTEM</t>
  </si>
  <si>
    <t>R1914-DWG-PR-00-040</t>
  </si>
  <si>
    <t xml:space="preserve">    123-350-22RA-PE-037</t>
  </si>
  <si>
    <t>Utilities P&amp;ID-potable Water</t>
  </si>
  <si>
    <t>R1914-DWG-PR-00-041</t>
  </si>
  <si>
    <t xml:space="preserve"> 123-350-22RA-PE-038</t>
  </si>
  <si>
    <t xml:space="preserve">Utilities P&amp;ID -Diesel SYSTEM </t>
  </si>
  <si>
    <t>R1914-DWG-PR-00-043</t>
  </si>
  <si>
    <t>123-350-22RA-PE-039</t>
  </si>
  <si>
    <t>Utilities P&amp;ID - Air Service</t>
  </si>
  <si>
    <t>R1914-DWG-PR-00-042</t>
  </si>
  <si>
    <t xml:space="preserve"> 123-350-22RA-PE-040 </t>
  </si>
  <si>
    <t xml:space="preserve">Instrumentation TYPICAL SEQUENCES </t>
  </si>
  <si>
    <t>R1914-DWG-PR-00-044</t>
  </si>
  <si>
    <t>123-350-22RA-PE-041</t>
  </si>
  <si>
    <t xml:space="preserve">Typical sequences of control panels - Sheet 1
</t>
  </si>
  <si>
    <t>R1914-DWG-PR-00-045</t>
  </si>
  <si>
    <t>123-350-22RA-PE-042</t>
  </si>
  <si>
    <t>Typical sequences of control panels - Sheet 2</t>
  </si>
  <si>
    <t>R1914-DWG-PR-00-046</t>
  </si>
  <si>
    <t>123-350-22RA-PE-043</t>
  </si>
  <si>
    <t>Typical sequences of control panels - Sheet 3</t>
  </si>
  <si>
    <t>R1914-DWG-PR-00-047</t>
  </si>
  <si>
    <t>123-350-22RA-PE-044</t>
  </si>
  <si>
    <t>Typical sequences of control panels - Sheet 4</t>
  </si>
  <si>
    <t>R1914-DWG-PR-00-048</t>
  </si>
  <si>
    <t>123-350-22RA-PE-045</t>
  </si>
  <si>
    <t>Typical sequences of control panels - Sheet 5</t>
  </si>
  <si>
    <t>R1914-DWG-PR-00-049</t>
  </si>
  <si>
    <t>123-350-22RA-PE-046</t>
  </si>
  <si>
    <t>Typical sequences of control panels - Sheet 6</t>
  </si>
  <si>
    <t>R1914-DWG-PR-00-050</t>
  </si>
  <si>
    <t>123-350-22RA-PE-047</t>
  </si>
  <si>
    <t>Typical sequences of control panels - Sheet 7</t>
  </si>
  <si>
    <t>R1914-DWG-PR-00-053</t>
  </si>
  <si>
    <t>123-350-22RA-PE-088</t>
  </si>
  <si>
    <t>Utilities PFD-potable Water</t>
  </si>
  <si>
    <t>R1914-DWG-PR-00-054</t>
  </si>
  <si>
    <t>123-350-22RA-PE-089</t>
  </si>
  <si>
    <t xml:space="preserve">Utilities PFD -Diesel SYSTEM </t>
  </si>
  <si>
    <t>R1914-DWG-PR-00-055</t>
  </si>
  <si>
    <t>123-350-22RA-PE-090</t>
  </si>
  <si>
    <t>Utilities PFD - Air Service</t>
  </si>
  <si>
    <t>R1914-DWG-PR-00-056</t>
  </si>
  <si>
    <t>123-350-22RA-PE-091</t>
  </si>
  <si>
    <r>
      <t xml:space="preserve">PFD - SERVICE </t>
    </r>
    <r>
      <rPr>
        <strike/>
        <sz val="11"/>
        <rFont val="Garamond"/>
        <family val="1"/>
      </rPr>
      <t>WASH</t>
    </r>
    <r>
      <rPr>
        <sz val="11"/>
        <rFont val="Garamond"/>
        <family val="1"/>
      </rPr>
      <t xml:space="preserve"> WATER SKID </t>
    </r>
  </si>
  <si>
    <t>R1914-DWG-PR-00-052</t>
  </si>
  <si>
    <t>123-350-22RA-PE-049</t>
  </si>
  <si>
    <r>
      <t>Istrumentation P&amp;ID - SERVICE</t>
    </r>
    <r>
      <rPr>
        <strike/>
        <sz val="11"/>
        <rFont val="Garamond"/>
        <family val="1"/>
      </rPr>
      <t xml:space="preserve"> WASH</t>
    </r>
    <r>
      <rPr>
        <sz val="11"/>
        <rFont val="Garamond"/>
        <family val="1"/>
      </rPr>
      <t xml:space="preserve"> WATER SKID </t>
    </r>
  </si>
  <si>
    <t>R1914-DWG-PR-00-057</t>
  </si>
  <si>
    <t>123-350-22RA-PE-050</t>
  </si>
  <si>
    <t xml:space="preserve">Istrumentation P&amp;ID-Potable Water skid
</t>
  </si>
  <si>
    <t>R1914-DWG-PR-00-059</t>
  </si>
  <si>
    <t>123-350-22RA-PE-051</t>
  </si>
  <si>
    <t>NEW MARITIME INFLUENT LINE PROCESS FLOW DIAGRAM</t>
  </si>
  <si>
    <t>R1914-DWG-PR-00-060</t>
  </si>
  <si>
    <t>123-350-22RA-PE-052</t>
  </si>
  <si>
    <t xml:space="preserve">NEW MARITIME INFLUENT LINE P&amp;ID
</t>
  </si>
  <si>
    <t>R1914-DWG-PR-00-058</t>
  </si>
  <si>
    <t>123-350-22RA-PE-092</t>
  </si>
  <si>
    <t>PFD-Potable Water skid</t>
  </si>
  <si>
    <t>R1914-DWG-ME-00-004</t>
  </si>
  <si>
    <t>123-530-22RA-PE-050</t>
  </si>
  <si>
    <t>CONTRACT AREA LOCATION PLAN</t>
  </si>
  <si>
    <t>R1914-DWG-ME-00-005</t>
  </si>
  <si>
    <t>123-530-22RA-PE-051</t>
  </si>
  <si>
    <t>GENERAL ARRANGEMENT AND AREA LIMITATIONS</t>
  </si>
  <si>
    <t>R1914-DWG-ME-00-006</t>
  </si>
  <si>
    <t>123-530-22RA-PE-052</t>
  </si>
  <si>
    <t xml:space="preserve">key plan </t>
  </si>
  <si>
    <t>R1914-DWG-ME-00-042</t>
  </si>
  <si>
    <t>123-530-22RA-PE-073</t>
  </si>
  <si>
    <t>process interconnection -area 01</t>
  </si>
  <si>
    <t>R1914-DWG-ME-00-043</t>
  </si>
  <si>
    <t>123-530-22RA-PE-074</t>
  </si>
  <si>
    <t>process interconnection -area 02</t>
  </si>
  <si>
    <t>R1914-DWG-ME-00-044</t>
  </si>
  <si>
    <t>123-530-22RA-PE-075</t>
  </si>
  <si>
    <t>process interconnection -area 03</t>
  </si>
  <si>
    <t>R1914-DWG-ME-00-045</t>
  </si>
  <si>
    <t>123-530-22RA-PE-076</t>
  </si>
  <si>
    <t>process interconnection -area 04</t>
  </si>
  <si>
    <t>R1914-DWG-ME-00-046</t>
  </si>
  <si>
    <t>123-530-22RA-PE-077</t>
  </si>
  <si>
    <t>process interconnection -area 05</t>
  </si>
  <si>
    <t>R1914-DWG-ME-00-047</t>
  </si>
  <si>
    <t>123-530-22RA-PE-078</t>
  </si>
  <si>
    <t>process interconnection -area 06</t>
  </si>
  <si>
    <t>R1914-DWG-ME-00-008</t>
  </si>
  <si>
    <t>123-530-22RA-PE-054</t>
  </si>
  <si>
    <t>INFLUENT PUMPING - GENERAL ARRANGEMENT SECTIONS AND DETAILS</t>
  </si>
  <si>
    <t>R1914-DWG-ME-00-049</t>
  </si>
  <si>
    <t>123-530-22RA-PE-080</t>
  </si>
  <si>
    <t>PRE-TREATMENT GENERAL ARRANGEMENT</t>
  </si>
  <si>
    <t>R1914-DWG-ME-00-009</t>
  </si>
  <si>
    <t>123-530-22RA-PE-055</t>
  </si>
  <si>
    <r>
      <rPr>
        <strike/>
        <sz val="11"/>
        <rFont val="Garamond"/>
        <family val="1"/>
      </rPr>
      <t>P</t>
    </r>
    <r>
      <rPr>
        <sz val="11"/>
        <rFont val="Garamond"/>
        <family val="1"/>
      </rPr>
      <t xml:space="preserve">RE- TREATMENT SECTIONS AND DETAILS </t>
    </r>
  </si>
  <si>
    <t>R1914-DWG-ME-00-010</t>
  </si>
  <si>
    <t>123-530-22RA-PE-056</t>
  </si>
  <si>
    <t>PRIMARY CLARIFIERS GENERAL ARRANGEMENT</t>
  </si>
  <si>
    <t>R1914-DWG-ME-00-011</t>
  </si>
  <si>
    <t>123-530-22RA-PE-057</t>
  </si>
  <si>
    <t>SECONDARY CLARIFIERS GENERAL ARRANGEMENT</t>
  </si>
  <si>
    <t>R1914-DWG-ME-00-012</t>
  </si>
  <si>
    <t>123-530-22RA-PE-058</t>
  </si>
  <si>
    <t>SECONDARY CLARIFIERS SECTIONS AND DETAILS</t>
  </si>
  <si>
    <t>R1914-DWG-ME-00-048</t>
  </si>
  <si>
    <t>123-530-22RA-PE-079</t>
  </si>
  <si>
    <t>SECONDARY MIXING TANKS GENERAL ARRANGEMENT SECTIONS AND DETAILS</t>
  </si>
  <si>
    <t>R1914-DWG-ME-00-013</t>
  </si>
  <si>
    <t>123-530-22RA-PE-059</t>
  </si>
  <si>
    <t xml:space="preserve">TIE STORAGE GENERAL ARRANGEMENT SECTIONS AND DETAILS </t>
  </si>
  <si>
    <t>R1914-DWG-ME-00-015</t>
  </si>
  <si>
    <t>123-530-22RA-PE-061</t>
  </si>
  <si>
    <t>CHEMICAL BUILDING GENERAL ARRANGEMENT</t>
  </si>
  <si>
    <t>R1914-DWG-ME-00-017</t>
  </si>
  <si>
    <t>123-530-22RA-PE-063</t>
  </si>
  <si>
    <t xml:space="preserve">DISK FILTERS &amp; CHLORINE CONTACT TANKS GENERAL ARRANGEMENT </t>
  </si>
  <si>
    <t>R1914-DWG-ME-00-018</t>
  </si>
  <si>
    <t>123-530-22RA-PE-064</t>
  </si>
  <si>
    <t xml:space="preserve">TERTIARY TREATMENT SECTIONS AND DETAILS </t>
  </si>
  <si>
    <t>R1914-DWG-ME-00-019</t>
  </si>
  <si>
    <t>123-530-22RA-PE-065</t>
  </si>
  <si>
    <t xml:space="preserve">TIE PUMPING GENERAL ARRANGEMENT  SECTIONS AND DETAILS </t>
  </si>
  <si>
    <t>R1914-DWG-ME-00-020</t>
  </si>
  <si>
    <t>123-530-22RA-PE-066</t>
  </si>
  <si>
    <t>SLUDGE STORAGE AND DEWATERING GENERAL ARRANGEMENT</t>
  </si>
  <si>
    <t>R1914-DWG-ME-00-021</t>
  </si>
  <si>
    <t>123-530-22RA-PE-067</t>
  </si>
  <si>
    <t>SLUDGE MANAGEMENT SECTIONS AND DETAILS</t>
  </si>
  <si>
    <t>R1914-DWG-ME-00-022</t>
  </si>
  <si>
    <t>123-530-22RA-PE-068</t>
  </si>
  <si>
    <t xml:space="preserve">EQUALIZATION BASIN GENERAL ARRANGEMENT  SECTIONS AND  DETAILS </t>
  </si>
  <si>
    <t>R1914-DWG-ME-00-023</t>
  </si>
  <si>
    <t>123-530-22RA-PE-069</t>
  </si>
  <si>
    <t>EMERGENCY LAGOON PUMP STATION FILTRATE RETURN PUMP STATION - GENERAL ARRANGEMENT  SECTIONS AND DETAILS</t>
  </si>
  <si>
    <t>R1914-DWG-ME-00-034</t>
  </si>
  <si>
    <t>123-530-22RA-PE-070</t>
  </si>
  <si>
    <t xml:space="preserve">Sanitary water pumping station general arrangement </t>
  </si>
  <si>
    <t>R1914-DWG-ME-00-039</t>
  </si>
  <si>
    <t>123-530-22RA-PE-071</t>
  </si>
  <si>
    <t>Fuel feeding arrangement drawing</t>
  </si>
  <si>
    <t>R1914-DWG-ME-00-050</t>
  </si>
  <si>
    <t>123-530-22RA-PE-081</t>
  </si>
  <si>
    <t>primary sludge pump station/primary scum pump station General arrangement</t>
  </si>
  <si>
    <t>R1914-DWG-ME-00-051</t>
  </si>
  <si>
    <t>123-530-22RA-PE-082</t>
  </si>
  <si>
    <t>primary sludge pump station/primary scum pump station sections and détails</t>
  </si>
  <si>
    <t>R1914-DWG-ME-00-052</t>
  </si>
  <si>
    <t>123-530-22RA-PE-083</t>
  </si>
  <si>
    <t>secondary sludge pump station General arrangement/sections and détails</t>
  </si>
  <si>
    <t>R1914-DWG-ME-00-054</t>
  </si>
  <si>
    <t>123-530-22RA-PE-085</t>
  </si>
  <si>
    <t>piping sections and détails</t>
  </si>
  <si>
    <t>R1914-DWG-ME-00-070</t>
  </si>
  <si>
    <t>123-530-22RA-PE-087</t>
  </si>
  <si>
    <t>NEW MARITIME INFLUENT LINE GENERAL ARRANGEMENT</t>
  </si>
  <si>
    <t>R1914-DWG-ME-00-071</t>
  </si>
  <si>
    <t>123-530-22RA-PE-088</t>
  </si>
  <si>
    <t>NEW MARITIME INFLUENT LINE PROCESS INTERCONNECTION AREA 01</t>
  </si>
  <si>
    <t>R1914-DWG-ME-00-072</t>
  </si>
  <si>
    <t>123-530-22RA-PE-089</t>
  </si>
  <si>
    <t>NEW MARITIME INFLUENT LINE PROCESS INTERCONNECTION AREA 02</t>
  </si>
  <si>
    <t>R1914-DWG-ME-00-073</t>
  </si>
  <si>
    <t>123-530-22RA-PE-090</t>
  </si>
  <si>
    <t>NEW MARITIME INFLUENT LINE ISOMETRIC DRAWING</t>
  </si>
  <si>
    <t>R1914-DWG-ME-00-055</t>
  </si>
  <si>
    <t>123-530-22RA-PE-086</t>
  </si>
  <si>
    <t>AIR COMPRESSOR UNIT PIPING DRAWING</t>
  </si>
  <si>
    <t>R1914-DWG-ME-00-040</t>
  </si>
  <si>
    <t>123-530-22RA-PE-072</t>
  </si>
  <si>
    <t xml:space="preserve">PRIMARY CLARIFIERS  SECTIONS AND DETAILS </t>
  </si>
  <si>
    <t>R1914-SPC-ME-00-026</t>
  </si>
  <si>
    <t>123-C01R-G65-22RA-MA-001</t>
  </si>
  <si>
    <t>HVAC system Specification</t>
  </si>
  <si>
    <t>R1914-CLC-ME-00-002</t>
  </si>
  <si>
    <t>123-C01R-G65-22RA-MA-002</t>
  </si>
  <si>
    <t>HVAC calculation note</t>
  </si>
  <si>
    <t>R1914-CLC-ME-00-003</t>
  </si>
  <si>
    <t>123-C01R-G65-22RA-MA-003</t>
  </si>
  <si>
    <t>CHEMICAL BUILDING plumbing calculation note</t>
  </si>
  <si>
    <t>R1914-CLC-ME-00-004</t>
  </si>
  <si>
    <t>123-C01R-G65-22RA-MA-004</t>
  </si>
  <si>
    <t>SUBSTATION BUILDING plumbing calculation note</t>
  </si>
  <si>
    <t>R1914-CLC-ME-00-005</t>
  </si>
  <si>
    <t>123-C01R-G65-22RA-MA-005</t>
  </si>
  <si>
    <t xml:space="preserve">PLUMBING CALCULATION NOTES - ANNEXES </t>
  </si>
  <si>
    <t>R1914-CLC-ME-00-006</t>
  </si>
  <si>
    <t>123-C01R-G65-22RA-MA-011</t>
  </si>
  <si>
    <t>SEC BUILDING- plumbing calculation note</t>
  </si>
  <si>
    <t>R1914-CLC-ME-00-007</t>
  </si>
  <si>
    <t>123-C01R-G65-22RA-MA-012</t>
  </si>
  <si>
    <t xml:space="preserve">ELECTRICAL BUILDING- plumbing calculation note
</t>
  </si>
  <si>
    <t>R1914-CLC-SF-00-006</t>
  </si>
  <si>
    <t>123-C01R-G65-22RA-MA-009</t>
  </si>
  <si>
    <t>FIRE FIGHTING REQUIREMENTS CALCULATION</t>
  </si>
  <si>
    <t>R1914-SPC-SF-00-001</t>
  </si>
  <si>
    <t>123-C01R-G65-22RA-MA-010</t>
  </si>
  <si>
    <t xml:space="preserve">FIRE FIGHTING EQUIPMENTS SPECIFICATION  </t>
  </si>
  <si>
    <t>R1914-SPC-FG-00-001</t>
  </si>
  <si>
    <t>123-C01R-G65-22RA-MA-006</t>
  </si>
  <si>
    <t>FIRE SUPPRESSION SYSTEM SPECIFICATION</t>
  </si>
  <si>
    <t>R1914-DWG-SF-00-002</t>
  </si>
  <si>
    <t>123-750-22RA-ME-004</t>
  </si>
  <si>
    <t xml:space="preserve">Fire water network - P&amp;ID </t>
  </si>
  <si>
    <t>R1914-DWG-SF-00-003</t>
  </si>
  <si>
    <t>123-750-22RA-ME-005</t>
  </si>
  <si>
    <t xml:space="preserve">Fire fighting system general arrangement </t>
  </si>
  <si>
    <t>R1914-DWG-SF-00-008</t>
  </si>
  <si>
    <t>123-750-22RA-ME-013</t>
  </si>
  <si>
    <t>Fire Fighting chemical building arrangement drawing</t>
  </si>
  <si>
    <t>R1914-DWG-ME-00-033</t>
  </si>
  <si>
    <t>123-750-22RA-ME-006</t>
  </si>
  <si>
    <t>PLUMBING AND HVAC LEGEND</t>
  </si>
  <si>
    <t>R1914-DWG-ME-00-027</t>
  </si>
  <si>
    <t>123-750-22RA-ME-007</t>
  </si>
  <si>
    <t>CHEMICAL BUILDING HVAC SYSTEM LAYOUT I</t>
  </si>
  <si>
    <t>R1914-DWG-ME-00-035</t>
  </si>
  <si>
    <t>123-750-22RA-ME-014</t>
  </si>
  <si>
    <t>CHEMICAL BUILDING HVAC SYSTEM LAYOUT II</t>
  </si>
  <si>
    <t>R1914-DWG-ME-00-028</t>
  </si>
  <si>
    <t>123-750-22RA-ME-008</t>
  </si>
  <si>
    <t>CHEMICAL BUILDING FlOOR PLAN, ROOF PLAN PLUMBING AND SANITARY SYSTEM LAYOUT I</t>
  </si>
  <si>
    <t>R1914-DWG-ME-00-038</t>
  </si>
  <si>
    <t>123-750-22RA-ME-017</t>
  </si>
  <si>
    <t>CHEMICAL BUILDING  FlOOR PLAN, ROOF PLAN  PLUMBING AND SANITARY SYSTEM LAYOUT II</t>
  </si>
  <si>
    <t>R1914-DWG-ME-00-029</t>
  </si>
  <si>
    <t>123-750-22RA-ME-009</t>
  </si>
  <si>
    <t>ELECTRICAL ROOM HVAC SYSTEM LAYOUT I</t>
  </si>
  <si>
    <t>R1914-DWG-ME-00-036</t>
  </si>
  <si>
    <t>123-750-22RA-ME-015</t>
  </si>
  <si>
    <t>ELECTRICAL ROOM HVAC SYSTEM LAYOUT II</t>
  </si>
  <si>
    <t>R1914-DWG-ME-00-030</t>
  </si>
  <si>
    <t>123-750-22RA-ME-010</t>
  </si>
  <si>
    <t>SUBSTATION BUILDING HVAC SYSTEM LAYOUT I</t>
  </si>
  <si>
    <t>R1914-DWG-ME-00-037</t>
  </si>
  <si>
    <t>123-750-22RA-ME-016</t>
  </si>
  <si>
    <t>SUBSTATION BUILDING HVAC SYSTEM LAYOUT II</t>
  </si>
  <si>
    <t>R1914-DWG-ME-00-031</t>
  </si>
  <si>
    <t>123-750-22RA-ME-011</t>
  </si>
  <si>
    <t>SUBSTATION BUILDING PLUMBING AND SANITARY SYSTEM LAYOUT</t>
  </si>
  <si>
    <t>R1914-DWG-ME-00-041</t>
  </si>
  <si>
    <t>123-750-22RA-ME-018</t>
  </si>
  <si>
    <t xml:space="preserve">SUBSTATION BUILDING HVAC SYSTEM SECTIONS AND DETAILS </t>
  </si>
  <si>
    <t>R1914-DWG-ME-00-057</t>
  </si>
  <si>
    <t>123-750-22RA-ME-019</t>
  </si>
  <si>
    <t>SEC BUILD HVAC SYS LAYOUT-SECTIONS AND DETAILS</t>
  </si>
  <si>
    <t>R1914-DWG-ME-00-058</t>
  </si>
  <si>
    <t>123-750-22RA-ME-020</t>
  </si>
  <si>
    <t>CHEMICAL BUILDING  shematic diagram drawing</t>
  </si>
  <si>
    <t>R1914-DWG-ME-00-059</t>
  </si>
  <si>
    <t>123-750-22RA-ME-021</t>
  </si>
  <si>
    <t>HVAC standard détails</t>
  </si>
  <si>
    <t>R1914-DWG-ME-00-060</t>
  </si>
  <si>
    <t>123-750-22RA-ME-022</t>
  </si>
  <si>
    <t>ELEC ROOM HVAC  SYS LAYOUT-SECTIONS AND DETAILS</t>
  </si>
  <si>
    <t>R1914-DWG-ME-00-063</t>
  </si>
  <si>
    <t>123-750-22RA-ME-023</t>
  </si>
  <si>
    <t>CHEMICAL BUILDING HVAC  SYS LAYOUT-SECTIONS AND DETAILS</t>
  </si>
  <si>
    <t>R1914-DWG-ME-00-064</t>
  </si>
  <si>
    <t>123-750-22RA-ME-024</t>
  </si>
  <si>
    <t>Electrical Building shematic diagram drawing</t>
  </si>
  <si>
    <t>R1914-DWG-ME-00-065</t>
  </si>
  <si>
    <t>123-750-22RA-ME-025</t>
  </si>
  <si>
    <t>Substation Building shematic diagram drawing</t>
  </si>
  <si>
    <t>R1914-DWG-ME-00-066</t>
  </si>
  <si>
    <t>123-750-22RA-ME-026</t>
  </si>
  <si>
    <t>CHEMICAL  BUILDING  HVAC SYSTEM  LAYOUT III -SECTIONS AND DETAILS</t>
  </si>
  <si>
    <t>R1914-DWG-ME-00-067</t>
  </si>
  <si>
    <t>123-750-22RA-ME-027</t>
  </si>
  <si>
    <t>CHEMICAL  BUILDING  HVAC SYSTEM  LAYOUT III</t>
  </si>
  <si>
    <t>R1914-DWG-ME-00-068</t>
  </si>
  <si>
    <t>123-750-22RA-ME-028</t>
  </si>
  <si>
    <t>CHEMICAL  BUILDING  PLUMBING  SANITARY SYSTEM  LAYOUT - III</t>
  </si>
  <si>
    <t>R1914-DWG-ME-00-069</t>
  </si>
  <si>
    <t>123-750-22RA-ME-029</t>
  </si>
  <si>
    <t>CHEMICAL  BUILDING  PLUMBING  SANITARY SYSTEM  LAYOUT - IV</t>
  </si>
  <si>
    <t>R1914-DWG-ME-00-032</t>
  </si>
  <si>
    <t>123-750-22RA-ME-012</t>
  </si>
  <si>
    <t>Plumbing standard details</t>
  </si>
  <si>
    <t>R1914-RPT-SF-00-001</t>
  </si>
  <si>
    <t>123-C01R-G65-22RA-AE-001</t>
  </si>
  <si>
    <t>FIRE &amp; LIFE SAFETY PLAN REPORT</t>
  </si>
  <si>
    <t>R1914-DWG-CV-00-061</t>
  </si>
  <si>
    <t>123-741-22RA-AE-001</t>
  </si>
  <si>
    <t>General notes symbols and abbreviations</t>
  </si>
  <si>
    <t>R1914-DWG-CV-00-062</t>
  </si>
  <si>
    <t>123-741-22RA-AE-002</t>
  </si>
  <si>
    <t xml:space="preserve">Site Development Plan </t>
  </si>
  <si>
    <t>R1914-DWG-CV-00-071</t>
  </si>
  <si>
    <t>123-741-22RA-AE-101</t>
  </si>
  <si>
    <r>
      <t>Chemical Building - Ground floor</t>
    </r>
    <r>
      <rPr>
        <strike/>
        <sz val="11"/>
        <rFont val="Garamond"/>
        <family val="1"/>
      </rPr>
      <t>, roof plan</t>
    </r>
    <r>
      <rPr>
        <sz val="11"/>
        <rFont val="Garamond"/>
        <family val="1"/>
      </rPr>
      <t xml:space="preserve"> &amp; schedules</t>
    </r>
  </si>
  <si>
    <t>R1914-DWG-CV-00-072</t>
  </si>
  <si>
    <t>123-741-22RA-AE-102</t>
  </si>
  <si>
    <r>
      <t xml:space="preserve">Chemical Building - </t>
    </r>
    <r>
      <rPr>
        <strike/>
        <sz val="11"/>
        <rFont val="Garamond"/>
        <family val="1"/>
      </rPr>
      <t xml:space="preserve">Elevations, sections and details </t>
    </r>
    <r>
      <rPr>
        <sz val="11"/>
        <rFont val="Garamond"/>
        <family val="1"/>
      </rPr>
      <t xml:space="preserve">roof plan </t>
    </r>
  </si>
  <si>
    <t>R1914-DWG-CV-00-073</t>
  </si>
  <si>
    <t>123-741-22RA-AE-103</t>
  </si>
  <si>
    <r>
      <t xml:space="preserve">Chemical Building - </t>
    </r>
    <r>
      <rPr>
        <strike/>
        <sz val="11"/>
        <rFont val="Garamond"/>
        <family val="1"/>
      </rPr>
      <t>ABLUTION/TOILET details</t>
    </r>
    <r>
      <rPr>
        <sz val="11"/>
        <rFont val="Garamond"/>
        <family val="1"/>
      </rPr>
      <t xml:space="preserve"> Elevations</t>
    </r>
  </si>
  <si>
    <t>R1914-DWG-CV-00-074</t>
  </si>
  <si>
    <t>123-741-22RA-AE-104</t>
  </si>
  <si>
    <r>
      <t>Chemical Building -Sections and</t>
    </r>
    <r>
      <rPr>
        <strike/>
        <sz val="11"/>
        <rFont val="Garamond"/>
        <family val="1"/>
      </rPr>
      <t xml:space="preserve"> miscellaneous </t>
    </r>
    <r>
      <rPr>
        <sz val="11"/>
        <rFont val="Garamond"/>
        <family val="1"/>
      </rPr>
      <t xml:space="preserve">details </t>
    </r>
  </si>
  <si>
    <t>R1914-DWG-CV-00-075</t>
  </si>
  <si>
    <t>123-741-22RA-AE-105</t>
  </si>
  <si>
    <r>
      <t>Chemical Building -</t>
    </r>
    <r>
      <rPr>
        <strike/>
        <sz val="11"/>
        <rFont val="Garamond"/>
        <family val="1"/>
      </rPr>
      <t xml:space="preserve"> ceiling drawing </t>
    </r>
    <r>
      <rPr>
        <sz val="11"/>
        <rFont val="Garamond"/>
        <family val="1"/>
      </rPr>
      <t xml:space="preserve">Sections and miscellaneous details </t>
    </r>
  </si>
  <si>
    <t>R1914-DWG-CV-00-076</t>
  </si>
  <si>
    <t>123-741-22RA-AE-106</t>
  </si>
  <si>
    <r>
      <t xml:space="preserve">Chemical Building </t>
    </r>
    <r>
      <rPr>
        <strike/>
        <sz val="11"/>
        <rFont val="Garamond"/>
        <family val="1"/>
      </rPr>
      <t>-Doors &amp; Windows details  SHEET 1/2</t>
    </r>
    <r>
      <rPr>
        <sz val="11"/>
        <rFont val="Garamond"/>
        <family val="1"/>
      </rPr>
      <t xml:space="preserve"> abulution /toilet </t>
    </r>
  </si>
  <si>
    <t>R1914-DWG-CV-00-077</t>
  </si>
  <si>
    <t>123-741-22RA-AE-107</t>
  </si>
  <si>
    <r>
      <t>Chemical Building -</t>
    </r>
    <r>
      <rPr>
        <strike/>
        <sz val="11"/>
        <rFont val="Garamond"/>
        <family val="1"/>
      </rPr>
      <t>Doors &amp; Windows details SHEET 2/2</t>
    </r>
    <r>
      <rPr>
        <sz val="11"/>
        <rFont val="Garamond"/>
        <family val="1"/>
      </rPr>
      <t xml:space="preserve"> doors &amp; windows details SHEET 1/2</t>
    </r>
  </si>
  <si>
    <t>R1914-DWG-SF-00-004</t>
  </si>
  <si>
    <t>123-741-22RA-AE-108</t>
  </si>
  <si>
    <t>Life and safety plan for chemical building</t>
  </si>
  <si>
    <t>R1914-DWG-CV-00-239</t>
  </si>
  <si>
    <t>123-741-22RA-AE-109</t>
  </si>
  <si>
    <t xml:space="preserve">Chemical Building - ceiling plan </t>
  </si>
  <si>
    <t>R1914-DWG-CV-00-435</t>
  </si>
  <si>
    <t>123-741-22RA-AE-110</t>
  </si>
  <si>
    <t>Chemical Building abulution toilet details sheet 2</t>
  </si>
  <si>
    <t>R1914-DWG-CV-00-436</t>
  </si>
  <si>
    <t>123-741-22RA-AE-111</t>
  </si>
  <si>
    <t>Chemical Building fourniture layout and schedule</t>
  </si>
  <si>
    <t>R1914-DWG-CV-00-439</t>
  </si>
  <si>
    <t>123-741-22RA-AE-113</t>
  </si>
  <si>
    <t>Weighbridge control cabin layout</t>
  </si>
  <si>
    <t>R1914-DWG-CV-00-437</t>
  </si>
  <si>
    <t>123-741-22RA-AE-112</t>
  </si>
  <si>
    <t>CHEMICAL BUILDING DOORS &amp; WINDOWS DETAILS SHEET 2/2</t>
  </si>
  <si>
    <t>R1914-DWG-CV-00-090</t>
  </si>
  <si>
    <t>123-741-22RA-AE-301</t>
  </si>
  <si>
    <r>
      <t xml:space="preserve">Electrical Building - Floor plan, roof plan , ceiling plan  </t>
    </r>
    <r>
      <rPr>
        <strike/>
        <sz val="11"/>
        <rFont val="Garamond"/>
        <family val="1"/>
      </rPr>
      <t>elevations, sections</t>
    </r>
    <r>
      <rPr>
        <sz val="11"/>
        <rFont val="Garamond"/>
        <family val="1"/>
      </rPr>
      <t xml:space="preserve"> and schedules</t>
    </r>
  </si>
  <si>
    <t>R1914-DWG-CV-00-091</t>
  </si>
  <si>
    <t>123-741-22RA-AE-302</t>
  </si>
  <si>
    <r>
      <t xml:space="preserve">Electrical Building -elevations Sections and </t>
    </r>
    <r>
      <rPr>
        <strike/>
        <sz val="11"/>
        <rFont val="Garamond"/>
        <family val="1"/>
      </rPr>
      <t>miscellaneous</t>
    </r>
    <r>
      <rPr>
        <sz val="11"/>
        <rFont val="Garamond"/>
        <family val="1"/>
      </rPr>
      <t xml:space="preserve"> details</t>
    </r>
  </si>
  <si>
    <t>R1914-DWG-CV-00-092</t>
  </si>
  <si>
    <t>123-741-22RA-AE-303</t>
  </si>
  <si>
    <r>
      <t xml:space="preserve">Electrical Building - </t>
    </r>
    <r>
      <rPr>
        <strike/>
        <sz val="11"/>
        <rFont val="Garamond"/>
        <family val="1"/>
      </rPr>
      <t>Doors &amp; Windows details</t>
    </r>
    <r>
      <rPr>
        <sz val="11"/>
        <rFont val="Garamond"/>
        <family val="1"/>
      </rPr>
      <t xml:space="preserve"> Sections and miscellaneous details</t>
    </r>
  </si>
  <si>
    <t>R1914-DWG-CV-00-240</t>
  </si>
  <si>
    <t>123-741-22RA-AE-304</t>
  </si>
  <si>
    <t xml:space="preserve">Electrical Building - Doors &amp; Windows detail </t>
  </si>
  <si>
    <t>R1914-DWG-SF-00-005</t>
  </si>
  <si>
    <t>123-741-22RA-AE-305</t>
  </si>
  <si>
    <t xml:space="preserve">Life and safety plan for electrical room </t>
  </si>
  <si>
    <t>R1914-DWG-CV-00-101</t>
  </si>
  <si>
    <t>123-741-22RA-AE-401</t>
  </si>
  <si>
    <t>Sub-station building  - Floor plan and schedules</t>
  </si>
  <si>
    <t>R1914-DWG-CV-00-102</t>
  </si>
  <si>
    <t>123-741-22RA-AE-402</t>
  </si>
  <si>
    <t>Sub-station building Elevations</t>
  </si>
  <si>
    <t>R1914-DWG-CV-00-103</t>
  </si>
  <si>
    <t>123-741-22RA-AE-403</t>
  </si>
  <si>
    <t>Sub-station building  - Sections and miscellaneous details</t>
  </si>
  <si>
    <t>R1914-DWG-CV-00-104</t>
  </si>
  <si>
    <t>123-741-22RA-AE-404</t>
  </si>
  <si>
    <t>Sub-station building  -Doors &amp; Windows details</t>
  </si>
  <si>
    <t>R1914-DWG-SF-00-006</t>
  </si>
  <si>
    <t>123-741-22RA-AE-405</t>
  </si>
  <si>
    <t>Life and safety plan for substation and generator</t>
  </si>
  <si>
    <t>R1914-DWG-CV-00-215</t>
  </si>
  <si>
    <t>123-741-22RA-AE-406</t>
  </si>
  <si>
    <t>Sub-station building  - sections and details</t>
  </si>
  <si>
    <t>R1914-DWG-CV-00-216</t>
  </si>
  <si>
    <t>123-741-22RA-AE-407</t>
  </si>
  <si>
    <t xml:space="preserve">Sub-station building  - roof plan </t>
  </si>
  <si>
    <t>R1914-DWG-CV-00-217</t>
  </si>
  <si>
    <t>123-741-22RA-AE-408</t>
  </si>
  <si>
    <t xml:space="preserve">Sub-station building  - ceiling plan </t>
  </si>
  <si>
    <t>R1914-DWG-CV-00-111</t>
  </si>
  <si>
    <t>123-741-22RA-AE-501</t>
  </si>
  <si>
    <t>SEC building  - Floor plan, roof plan and schedules</t>
  </si>
  <si>
    <t>R1914-DWG-CV-00-112</t>
  </si>
  <si>
    <t>123-741-22RA-AE-502</t>
  </si>
  <si>
    <t>SEC building  -Sections and miscellaneous details</t>
  </si>
  <si>
    <t>R1914-DWG-CV-00-113</t>
  </si>
  <si>
    <t>123-741-22RA-AE-503</t>
  </si>
  <si>
    <t>SEC building  - Doors &amp; Windows details</t>
  </si>
  <si>
    <t>R1914-DWG-CV-00-214</t>
  </si>
  <si>
    <t>123-741-22RA-AE-504</t>
  </si>
  <si>
    <t>SEC building  -Elevations, sections and details</t>
  </si>
  <si>
    <t>R1914-DWG-SF-00-007</t>
  </si>
  <si>
    <t>123-741-22RA-AE-505</t>
  </si>
  <si>
    <t>Life and safety plan for SEC Building</t>
  </si>
  <si>
    <t>R1914-CLC-CV-00-001</t>
  </si>
  <si>
    <t>123-C01R-CALC-22RA-CA-001</t>
  </si>
  <si>
    <t>Sewage network calculation note</t>
  </si>
  <si>
    <t>R1914-CLC-CV-00-002</t>
  </si>
  <si>
    <t>123-C01R-CALC-22RA-CA-002</t>
  </si>
  <si>
    <t xml:space="preserve">Runoff calculation report </t>
  </si>
  <si>
    <t>R1914-CLC-CV-00-033</t>
  </si>
  <si>
    <t>123-C01R-CALC-22RA-CA-033</t>
  </si>
  <si>
    <t xml:space="preserve"> FIRE FIGHTING  THRUST BLOCK CALCULATION NOTE</t>
  </si>
  <si>
    <t>R1914-DWG-CV-00-003</t>
  </si>
  <si>
    <t>123-000-22RA-CE-001</t>
  </si>
  <si>
    <t>General Notes Civil</t>
  </si>
  <si>
    <t>R1914-DWG-CV-00-004</t>
  </si>
  <si>
    <t>123-000-22RA-CE-002</t>
  </si>
  <si>
    <t>General Symbols Civils and Structural</t>
  </si>
  <si>
    <t>R1914-DWG-CV-00-010</t>
  </si>
  <si>
    <t>123-040-22RA-CE-008</t>
  </si>
  <si>
    <t>Grading and surface drainage layout</t>
  </si>
  <si>
    <t>R1914-DWG-CV-00-011</t>
  </si>
  <si>
    <t>123-040-22RA-CE-009</t>
  </si>
  <si>
    <t>Site Grading Profiles</t>
  </si>
  <si>
    <t>R1914-DWG-CV-00-012</t>
  </si>
  <si>
    <t>123-040-22RA-CE-010</t>
  </si>
  <si>
    <t xml:space="preserve">Pavement Site Plan </t>
  </si>
  <si>
    <t>R1914-DWG-CV-00-013</t>
  </si>
  <si>
    <t>123-040-22RA-CE-011</t>
  </si>
  <si>
    <t>Building Levels</t>
  </si>
  <si>
    <t>R1914-DWG-CV-00-014</t>
  </si>
  <si>
    <t>123-040-22RA-CE-012</t>
  </si>
  <si>
    <t>Fencing Layout</t>
  </si>
  <si>
    <t>R1914-DWG-CV-00-015</t>
  </si>
  <si>
    <t>123-040-22RA-CE-013</t>
  </si>
  <si>
    <t>Fence and Gate Details</t>
  </si>
  <si>
    <t>R1914-DWG-CV-00-016</t>
  </si>
  <si>
    <t>123-040-22RA-CE-014</t>
  </si>
  <si>
    <t>Roads General layout</t>
  </si>
  <si>
    <t>R1914-DWG-CV-00-017</t>
  </si>
  <si>
    <t>123-040-22RA-CE-015</t>
  </si>
  <si>
    <t>Road guardrails and delineator details</t>
  </si>
  <si>
    <t>R1914-DWG-CV-00-018</t>
  </si>
  <si>
    <t>123-040-22RA-CE-016</t>
  </si>
  <si>
    <t>Road longitudinal profiles</t>
  </si>
  <si>
    <t>R1914-DWG-CV-00-019</t>
  </si>
  <si>
    <t>123-040-22RA-CE-017</t>
  </si>
  <si>
    <t>Roads grading plan</t>
  </si>
  <si>
    <t>R1914-DWG-CV-00-020</t>
  </si>
  <si>
    <t>123-040-22RA-CE-018</t>
  </si>
  <si>
    <t>Roads Cross Sections</t>
  </si>
  <si>
    <t>R1914-DWG-CV-00-021</t>
  </si>
  <si>
    <t>123-040-22RA-CE-019</t>
  </si>
  <si>
    <t>Roads Marking and signs layout</t>
  </si>
  <si>
    <t>R1914-DWG-CV-00-022</t>
  </si>
  <si>
    <t>123-040-22RA-CE-020</t>
  </si>
  <si>
    <t>Road signs details SHEET 1/2</t>
  </si>
  <si>
    <t>R1914-DWG-CV-00-023</t>
  </si>
  <si>
    <t>123-040-22RA-CE-021</t>
  </si>
  <si>
    <t>Road signs details SHEET 2/2</t>
  </si>
  <si>
    <t>R1914-DWG-CV-00-024</t>
  </si>
  <si>
    <t>123-040-22RA-CE-022</t>
  </si>
  <si>
    <t>Emergency lagoon Plan Section &amp; details</t>
  </si>
  <si>
    <t>R1914-DWG-CV-00-025</t>
  </si>
  <si>
    <t>123-040-22RA-CE-023</t>
  </si>
  <si>
    <t>Equalisation basin Plan sections &amp; details</t>
  </si>
  <si>
    <t>R1914-DWG-CV-00-440</t>
  </si>
  <si>
    <t>123-040-22RA-CE-070</t>
  </si>
  <si>
    <t xml:space="preserve">NEW MARITIME INFLUENT LINE -PLAN &amp; PROFILE </t>
  </si>
  <si>
    <t>R1914-DWG-CV-00-026</t>
  </si>
  <si>
    <t>123-040-22RA-CE-024</t>
  </si>
  <si>
    <t>Storm Wter Infiltration Basin sections &amp; details</t>
  </si>
  <si>
    <t>Site utilities</t>
  </si>
  <si>
    <t>R1914-DWG-CV-00-253</t>
  </si>
  <si>
    <t>123-760-22RA-CE-060</t>
  </si>
  <si>
    <r>
      <rPr>
        <strike/>
        <sz val="11"/>
        <rFont val="Garamond"/>
        <family val="1"/>
      </rPr>
      <t xml:space="preserve">Potable Water Valve Chamber Sheet 1 </t>
    </r>
    <r>
      <rPr>
        <sz val="11"/>
        <rFont val="Garamond"/>
        <family val="1"/>
      </rPr>
      <t xml:space="preserve"> Valve Chamber VC 8/9/10 details drawing</t>
    </r>
  </si>
  <si>
    <t>R1914-DWG-CV-00-254</t>
  </si>
  <si>
    <t>123-760-22RA-CE-061</t>
  </si>
  <si>
    <r>
      <rPr>
        <strike/>
        <sz val="11"/>
        <rFont val="Garamond"/>
        <family val="1"/>
      </rPr>
      <t>Potable Water Valve Chamber Sheet 2</t>
    </r>
    <r>
      <rPr>
        <sz val="11"/>
        <rFont val="Garamond"/>
        <family val="1"/>
      </rPr>
      <t xml:space="preserve"> Valve Chamber VC 11/12/13 details drawing 
</t>
    </r>
  </si>
  <si>
    <t>R1914-DWG-CV-00-255</t>
  </si>
  <si>
    <t>123-760-22RA-CE-062</t>
  </si>
  <si>
    <t xml:space="preserve">Process Interconection Thrust Blocks Details  </t>
  </si>
  <si>
    <t>R1914-DWG-CV-00-051</t>
  </si>
  <si>
    <t>123-741-22RA-CE-051</t>
  </si>
  <si>
    <t>Sewage network</t>
  </si>
  <si>
    <t>R1914-DWG-CV-00-052</t>
  </si>
  <si>
    <t>123-741-22RA-CE-052</t>
  </si>
  <si>
    <t>Sewage longitudinal profiles</t>
  </si>
  <si>
    <t>R1914-DWG-CV-00-053</t>
  </si>
  <si>
    <t>123-741-22RA-CE-053</t>
  </si>
  <si>
    <t>Fire water valve chambers details</t>
  </si>
  <si>
    <t>R1914-DWG-CV-00-054</t>
  </si>
  <si>
    <t>123-741-22RA-CE-054</t>
  </si>
  <si>
    <t>Manholes and connections  details</t>
  </si>
  <si>
    <t>R1914-DWG-CV-00-055</t>
  </si>
  <si>
    <t>123-741-22RA-CE-055</t>
  </si>
  <si>
    <t>Telecommunication joint box and manholes details</t>
  </si>
  <si>
    <t>R1914-DWG-CV-00-056</t>
  </si>
  <si>
    <t>123-741-22RA-CE-056</t>
  </si>
  <si>
    <t>Electrical Manholes and channels details</t>
  </si>
  <si>
    <t>R1914-DWG-CV-00-057</t>
  </si>
  <si>
    <t>123-741-22RA-CE-057</t>
  </si>
  <si>
    <t>Pipes installation miscellaneous details</t>
  </si>
  <si>
    <t>R1914-DWG-CV-00-225</t>
  </si>
  <si>
    <t>123-741-22RA-CE-059</t>
  </si>
  <si>
    <t>FIRE FIGHTING THRUST BLOCK DETAILS</t>
  </si>
  <si>
    <t>R1914-CLC-CV-00-003</t>
  </si>
  <si>
    <t>123-C01R-CALC-22RA-CA-003</t>
  </si>
  <si>
    <t>Influent PS- Calculation note</t>
  </si>
  <si>
    <t>R1914-CLC-CV-00-005</t>
  </si>
  <si>
    <t>123-C01R-CALC-22RA-CA-005</t>
  </si>
  <si>
    <t>Intermediate PS- Calculation note</t>
  </si>
  <si>
    <t>R1914-CLC-CV-00-006</t>
  </si>
  <si>
    <t>123-C01R-CALC-22RA-CA-006</t>
  </si>
  <si>
    <t>Diversion Chamber- Calculation note</t>
  </si>
  <si>
    <t>R1914-CLC-CV-00-007</t>
  </si>
  <si>
    <t>123-C01R-CALC-22RA-CA-007</t>
  </si>
  <si>
    <t>Screen and Grit Removal- Calculation note</t>
  </si>
  <si>
    <t>R1914-CLC-CV-00-008</t>
  </si>
  <si>
    <t>123-C01R-CALC-22RA-CA-008</t>
  </si>
  <si>
    <t>Primary Clarifier- Calculation note</t>
  </si>
  <si>
    <t>R1914-CLC-CV-00-009</t>
  </si>
  <si>
    <t>123-C01R-CALC-22RA-CA-009</t>
  </si>
  <si>
    <t>Primary Flow Distribution Chamber- Calculation note</t>
  </si>
  <si>
    <t>R1914-CLC-CV-00-010</t>
  </si>
  <si>
    <t>123-C01R-CALC-22RA-CA-010</t>
  </si>
  <si>
    <t>Mixing Tank- Calculation note</t>
  </si>
  <si>
    <t>R1914-CLC-CV-00-011</t>
  </si>
  <si>
    <t>123-C01R-CALC-22RA-CA-011</t>
  </si>
  <si>
    <t>Primary Sludge PS- calculation note</t>
  </si>
  <si>
    <t>R1914-CLC-CV-00-012</t>
  </si>
  <si>
    <t>123-C01R-CALC-22RA-CA-012</t>
  </si>
  <si>
    <t>Primary Sludge Steel Structure- calculation note</t>
  </si>
  <si>
    <t>R1914-CLC-CV-00-013</t>
  </si>
  <si>
    <t>123-C01R-CALC-22RA-CA-013</t>
  </si>
  <si>
    <t>Secondary Sludge PS- calculation note</t>
  </si>
  <si>
    <t>R1914-CLC-CV-00-014</t>
  </si>
  <si>
    <t>123-C01R-CALC-22RA-CA-014</t>
  </si>
  <si>
    <t>Secondary Sludge Steel Structure- calculation note</t>
  </si>
  <si>
    <t>R1914-CLC-CV-00-015</t>
  </si>
  <si>
    <t>123-C01R-CALC-22RA-CA-015</t>
  </si>
  <si>
    <t>Secondary Clarifier- Calculation note</t>
  </si>
  <si>
    <t>R1914-CLC-CV-00-016</t>
  </si>
  <si>
    <t>123-C01R-CALC-22RA-CA-016</t>
  </si>
  <si>
    <t>Secondary Flow Distribution Chamber- Calculation note</t>
  </si>
  <si>
    <t>R1914-CLC-CV-00-017</t>
  </si>
  <si>
    <t>123-C01R-CALC-22RA-CA-017</t>
  </si>
  <si>
    <t>Chlorine Contact Tank- Calculation note</t>
  </si>
  <si>
    <t>R1914-CLC-CV-00-018</t>
  </si>
  <si>
    <t>123-C01R-CALC-22RA-CA-018</t>
  </si>
  <si>
    <t>Filtrate Return PS- Calculation note</t>
  </si>
  <si>
    <t>R1914-CLC-CV-00-019</t>
  </si>
  <si>
    <t>123-C01R-CALC-22RA-CA-019</t>
  </si>
  <si>
    <t>Primary Scum PS- Calculation note</t>
  </si>
  <si>
    <t>R1914-CLC-CV-00-021</t>
  </si>
  <si>
    <t>123-C01R-CALC-22RA-CA-021</t>
  </si>
  <si>
    <t>TIE/TIE Steel Structure- Calculation note</t>
  </si>
  <si>
    <t>R1914-CLC-CV-00-022</t>
  </si>
  <si>
    <t>123-C01R-CALC-22RA-CA-022</t>
  </si>
  <si>
    <t>Backwash Return PS- Calculation note</t>
  </si>
  <si>
    <t>R1914-CLC-CV-00-023</t>
  </si>
  <si>
    <t>123-C01R-CALC-22RA-CA-023</t>
  </si>
  <si>
    <t>Sludge dewatering Steel Structure- Calculation note</t>
  </si>
  <si>
    <t>R1914-CLC-CV-00-024</t>
  </si>
  <si>
    <t>123-C01R-CALC-22RA-CA-024</t>
  </si>
  <si>
    <t>Sludge dewatering Tank- Calculation note</t>
  </si>
  <si>
    <t>R1914-CLC-CV-00-025</t>
  </si>
  <si>
    <t>123-C01R-CALC-22RA-CA-025</t>
  </si>
  <si>
    <t>Concrete Pad for Storage and Feed Facility Tank- Calculation note</t>
  </si>
  <si>
    <t>R1914-CLC-CV-00-026</t>
  </si>
  <si>
    <t>123-C01R-CALC-22RA-CA-026</t>
  </si>
  <si>
    <t>Chemical building - Calculation note</t>
  </si>
  <si>
    <t>R1914-CLC-CV-00-028</t>
  </si>
  <si>
    <t>123-C01R-CALC-22RA-CA-028</t>
  </si>
  <si>
    <t>Substation building - Calculation note</t>
  </si>
  <si>
    <t>R1914-CLC-CV-00-029</t>
  </si>
  <si>
    <t>123-C01R-CALC-22RA-CA-029</t>
  </si>
  <si>
    <t>Electrical building - Calculation note</t>
  </si>
  <si>
    <t>R1914-CLC-CV-00-030</t>
  </si>
  <si>
    <t>123-C01R-CALC-22RA-CA-030</t>
  </si>
  <si>
    <t>SEC Building- Calculation note</t>
  </si>
  <si>
    <t>R1914-CLC-CV-00-031</t>
  </si>
  <si>
    <t>123-C01R-CALC-22RA-CA-031</t>
  </si>
  <si>
    <t>Car parking shade foundation calculation note</t>
  </si>
  <si>
    <t>R1914-CLC-CV-00-032</t>
  </si>
  <si>
    <t>123-C01R-CALC-22RA-CA-032</t>
  </si>
  <si>
    <t xml:space="preserve">EMERGENCY LAGOON PS calculation note </t>
  </si>
  <si>
    <t>R1914-CLC-CV-00-034</t>
  </si>
  <si>
    <t>123-C01R-CALC-22RA-CA-034</t>
  </si>
  <si>
    <t xml:space="preserve">Disc Filter Steel Structure calculation note </t>
  </si>
  <si>
    <t>R1914-CLC-CV-00-035</t>
  </si>
  <si>
    <t>123-C01R-CALC-22RA-CA-035</t>
  </si>
  <si>
    <t>Car parking shade steel structure calculation note</t>
  </si>
  <si>
    <t>R1914-CLC-CV-00-036</t>
  </si>
  <si>
    <t>123-C01R-CALC-22RA-CA-036</t>
  </si>
  <si>
    <t>Diesel tank foundation calculation note</t>
  </si>
  <si>
    <t>R1914-CLC-CV-00-037</t>
  </si>
  <si>
    <t>123-C01R-CALC-22RA-CA-037</t>
  </si>
  <si>
    <t>Valve chamber VC1 - Calculation note</t>
  </si>
  <si>
    <t>R1914-CLC-CV-00-040</t>
  </si>
  <si>
    <t>123-C01R-CALC-22RA-CA-040</t>
  </si>
  <si>
    <t>Sludge conditionning Tanks calculation note</t>
  </si>
  <si>
    <t>R1914-CLC-CV-00-039</t>
  </si>
  <si>
    <t>123-C01R-CALC-22RA-CA-039</t>
  </si>
  <si>
    <t>WEIGHBRIDGE FOUNDATION CALCULATION NOTE</t>
  </si>
  <si>
    <t>R1914-CLC-CV-00-038</t>
  </si>
  <si>
    <t>123-C01R-CALC-22RA-CA-038</t>
  </si>
  <si>
    <t xml:space="preserve"> Disk filters concrete structure - Calculation note</t>
  </si>
  <si>
    <t>R1914-DWG-CV-00-120</t>
  </si>
  <si>
    <t>123-000-22RA-SE-001</t>
  </si>
  <si>
    <t>Structural general notes Sheet 1</t>
  </si>
  <si>
    <t>R1914-DWG-CV-00-121</t>
  </si>
  <si>
    <t>123-000-22RA-SE-002</t>
  </si>
  <si>
    <t>Structural general notes Sheet 2</t>
  </si>
  <si>
    <t>R1914-DWG-CV-00-124</t>
  </si>
  <si>
    <t>123-760-22RA-SE-004</t>
  </si>
  <si>
    <t>BEAMS AND HSC TYPICAL DETAILS</t>
  </si>
  <si>
    <t>R1914-DWG-CV-00-125</t>
  </si>
  <si>
    <t>123-760-22RA-SE-005</t>
  </si>
  <si>
    <t>Masonry typical details</t>
  </si>
  <si>
    <t>R1914-DWG-CV-00-126</t>
  </si>
  <si>
    <t>123-760-22RA-SE-006</t>
  </si>
  <si>
    <t>External Water proofing - Typical details</t>
  </si>
  <si>
    <t>R1914-DWG-CV-00-127</t>
  </si>
  <si>
    <t>123-760-22RA-SE-007</t>
  </si>
  <si>
    <t>Grade beam and slab on grade typical details</t>
  </si>
  <si>
    <t>R1914-DWG-CV-00-128</t>
  </si>
  <si>
    <t>123-760-22RA-SE-008</t>
  </si>
  <si>
    <t>Reinforcing bars arrangement details</t>
  </si>
  <si>
    <t>R1914-DWG-CV-00-129</t>
  </si>
  <si>
    <t>123-760-22RA-SE-009</t>
  </si>
  <si>
    <t>FRP ladder and handrail typical details</t>
  </si>
  <si>
    <t>R1914-DWG-CV-00-218</t>
  </si>
  <si>
    <t>123-760-22RA-SE-010</t>
  </si>
  <si>
    <t>Trench and covers miscellanious details details</t>
  </si>
  <si>
    <t>R1914-DWG-CV-00-132</t>
  </si>
  <si>
    <t>123-760-22RA-SE-022</t>
  </si>
  <si>
    <r>
      <t xml:space="preserve">Parking shades- </t>
    </r>
    <r>
      <rPr>
        <strike/>
        <sz val="11"/>
        <rFont val="Garamond"/>
        <family val="1"/>
      </rPr>
      <t>foundation drawing</t>
    </r>
    <r>
      <rPr>
        <sz val="11"/>
        <rFont val="Garamond"/>
        <family val="1"/>
      </rPr>
      <t xml:space="preserve"> Framing and details</t>
    </r>
  </si>
  <si>
    <t>R1914-DWG-CV-00-136</t>
  </si>
  <si>
    <t>123-760-22RA-SE-023</t>
  </si>
  <si>
    <t>Lighting pole foundation</t>
  </si>
  <si>
    <t>R1914-DWG-CV-00-151</t>
  </si>
  <si>
    <t>123-760-22RA-SE-051</t>
  </si>
  <si>
    <t>Influent pumping station - Framing and details</t>
  </si>
  <si>
    <t>R1914-DWG-CV-00-152</t>
  </si>
  <si>
    <t>123-760-22RA-SE-052</t>
  </si>
  <si>
    <t>Influent pumping station - Reinforcement</t>
  </si>
  <si>
    <t>R1914-DWG-CV-00-153</t>
  </si>
  <si>
    <t>123-760-22RA-SE-055</t>
  </si>
  <si>
    <t>Inffluent pumping station - Access stairs  layout</t>
  </si>
  <si>
    <t>R1914-DWG-CV-00-154</t>
  </si>
  <si>
    <t>123-760-22RA-SE-056</t>
  </si>
  <si>
    <t>Influent pumping station - Access stairs details</t>
  </si>
  <si>
    <t>R1914-DWG-CV-00-155</t>
  </si>
  <si>
    <t>123-760-22RA-SE-057</t>
  </si>
  <si>
    <t>Influent pumping station - Stairway entrance layout and details</t>
  </si>
  <si>
    <t>R1914-DWG-CV-00-251</t>
  </si>
  <si>
    <t>123-760-22RA-SE-058</t>
  </si>
  <si>
    <r>
      <t xml:space="preserve">Influent pumping station - STEEL STRUCTURE  SUPPORT DRAWING </t>
    </r>
    <r>
      <rPr>
        <strike/>
        <sz val="11"/>
        <rFont val="Garamond"/>
        <family val="1"/>
      </rPr>
      <t>PIPING</t>
    </r>
  </si>
  <si>
    <t>R1914-DWG-CV-00-290</t>
  </si>
  <si>
    <t>123-760-22RA-SE-059</t>
  </si>
  <si>
    <t xml:space="preserve">NEW MARITIME INFLUENT LINE STRUCTURAL CONNECTIONS   </t>
  </si>
  <si>
    <t>R1914-DWG-CV-00-248</t>
  </si>
  <si>
    <t>123-760-22RA-SE-237</t>
  </si>
  <si>
    <t>Valve chamber VC : steel structure supports drawing</t>
  </si>
  <si>
    <t>R1914-DWG-CV-00-156</t>
  </si>
  <si>
    <t>123-760-22RA-SE-061</t>
  </si>
  <si>
    <t>Intermediate Pumping Station - Framing and details</t>
  </si>
  <si>
    <t>R1914-DWG-CV-00-157</t>
  </si>
  <si>
    <t>123-760-22RA-SE-062</t>
  </si>
  <si>
    <t>Intermediate Pumping Station - Reinforcement</t>
  </si>
  <si>
    <t>R1914-DWG-CV-00-222</t>
  </si>
  <si>
    <t>123-760-22RA-SE-063</t>
  </si>
  <si>
    <t>Intermediate Pumping Station -Steel structure details</t>
  </si>
  <si>
    <t>R1914-DWG-CV-00-158</t>
  </si>
  <si>
    <t>123-760-22RA-SE-071</t>
  </si>
  <si>
    <t>Diversion Chamber - Framing and details</t>
  </si>
  <si>
    <t>R1914-DWG-CV-00-159</t>
  </si>
  <si>
    <t>123-760-22RA-SE-072</t>
  </si>
  <si>
    <t>Diversion Chamber - Reinforcement</t>
  </si>
  <si>
    <t>R1914-DWG-CV-00-160</t>
  </si>
  <si>
    <t>123-760-22RA-SE-081</t>
  </si>
  <si>
    <t>Screen and Grit Removal - Framing and details</t>
  </si>
  <si>
    <t>R1914-DWG-CV-00-161</t>
  </si>
  <si>
    <t>123-760-22RA-SE-082</t>
  </si>
  <si>
    <t>Screen and Grit Removal - Reinforcement</t>
  </si>
  <si>
    <t>R1914-DWG-CV-00-223</t>
  </si>
  <si>
    <t>123-760-22RA-SE-085</t>
  </si>
  <si>
    <t>Screen and grit removal steel structure layout</t>
  </si>
  <si>
    <t>R1914-DWG-CV-00-232</t>
  </si>
  <si>
    <t>123-760-22RA-SE-086</t>
  </si>
  <si>
    <t>Screen and grit removal steel structure details</t>
  </si>
  <si>
    <t>R1914-DWG-CV-00-162</t>
  </si>
  <si>
    <t>123-760-22RA-SE-091</t>
  </si>
  <si>
    <t>Primary clarifier - Framing and details</t>
  </si>
  <si>
    <t>R1914-DWG-CV-00-163</t>
  </si>
  <si>
    <t>123-760-22RA-SE-092</t>
  </si>
  <si>
    <t>Primary clarifier - Reinforcement</t>
  </si>
  <si>
    <t>R1914-DWG-CV-00-164</t>
  </si>
  <si>
    <t>123-760-22RA-SE-101</t>
  </si>
  <si>
    <t>Primary flow distribution chamber and channel - Framing and details</t>
  </si>
  <si>
    <t>R1914-DWG-CV-00-165</t>
  </si>
  <si>
    <t>123-760-22RA-SE-102</t>
  </si>
  <si>
    <t>Primary flow distribution chamber and channel - Reinforcement</t>
  </si>
  <si>
    <t>R1914-DWG-CV-00-227</t>
  </si>
  <si>
    <t>123-760-22RA-SE-103</t>
  </si>
  <si>
    <t>Primary flow distibution chamber and channel steel structure and details</t>
  </si>
  <si>
    <t>R1914-DWG-CV-00-166</t>
  </si>
  <si>
    <t>123-760-22RA-SE-111</t>
  </si>
  <si>
    <t>Mixing tank - Framing and details</t>
  </si>
  <si>
    <t>R1914-DWG-CV-00-167</t>
  </si>
  <si>
    <t>123-760-22RA-SE-112</t>
  </si>
  <si>
    <t>Mixing tank - Reinforcement</t>
  </si>
  <si>
    <t>R1914-DWG-CV-00-224</t>
  </si>
  <si>
    <t>123-760-22RA-SE-115</t>
  </si>
  <si>
    <t>Mixing tank steel stucture Layout</t>
  </si>
  <si>
    <t>R1914-DWG-CV-00-235</t>
  </si>
  <si>
    <t>123-760-22RA-SE-116</t>
  </si>
  <si>
    <t>Mixing tank steel stucture  details</t>
  </si>
  <si>
    <t>R1914-DWG-CV-00-168</t>
  </si>
  <si>
    <t>123-760-22RA-SE-121</t>
  </si>
  <si>
    <t>Primary sludge Pumping Station - Framing and details</t>
  </si>
  <si>
    <t>R1914-DWG-CV-00-169</t>
  </si>
  <si>
    <t>123-760-22RA-SE-122</t>
  </si>
  <si>
    <t>Primary sludge Pumping Station - Reinforcement</t>
  </si>
  <si>
    <t>R1914-DWG-CV-00-170</t>
  </si>
  <si>
    <t>123-760-22RA-SE-125</t>
  </si>
  <si>
    <t>Primary sludge Pumping Station 1- Access stairs</t>
  </si>
  <si>
    <t>R1914-DWG-CV-00-171</t>
  </si>
  <si>
    <t>123-760-22RA-SE-126</t>
  </si>
  <si>
    <t xml:space="preserve">Primary sludge Pumping Station 2 - Access stairs </t>
  </si>
  <si>
    <t>R1914-DWG-CV-00-172</t>
  </si>
  <si>
    <t>123-760-22RA-SE-127</t>
  </si>
  <si>
    <t>Primary sludge SP1  Pumping Station -  Shelter Steel structure  Layout and details -I</t>
  </si>
  <si>
    <t>R1914-DWG-CV-00-249</t>
  </si>
  <si>
    <t>123-760-22RA-SE-128</t>
  </si>
  <si>
    <t xml:space="preserve">PRYMARY SLUDGE  SP2 PUMPING STATION SHELTER STEEL STRUCTURE LAYOUT AND DETAILS -II </t>
  </si>
  <si>
    <t>R1914-DWG-CV-00-173</t>
  </si>
  <si>
    <t>123-760-22RA-SE-131</t>
  </si>
  <si>
    <t>Secondary sludge Pumping Station - Framing and details</t>
  </si>
  <si>
    <t>R1914-DWG-CV-00-174</t>
  </si>
  <si>
    <t>123-760-22RA-SE-132</t>
  </si>
  <si>
    <t>Secondary sludge Pumping Station - Reinforcement</t>
  </si>
  <si>
    <t>R1914-DWG-CV-00-175</t>
  </si>
  <si>
    <t>123-760-22RA-SE-135</t>
  </si>
  <si>
    <t>Secondary sludge Pumping Station 1- Access stairs</t>
  </si>
  <si>
    <t>R1914-DWG-CV-00-176</t>
  </si>
  <si>
    <t>123-760-22RA-SE-136</t>
  </si>
  <si>
    <t>Secondary sludge Pumping Station 2- Access stairs</t>
  </si>
  <si>
    <t>R1914-DWG-CV-00-177</t>
  </si>
  <si>
    <t>123-760-22RA-SE-137</t>
  </si>
  <si>
    <t>Secondary sludge SS1 Pumping Station Shelter - Steel structure Layout and  details   -I</t>
  </si>
  <si>
    <t>R1914-DWG-CV-00-250</t>
  </si>
  <si>
    <t>123-760-22RA-SE-138</t>
  </si>
  <si>
    <t>SECONDARY SLUDGE SS2  PUMPING STATION SHELTER STEEL STRUCTURE LAYOUT AND DETAILS -II</t>
  </si>
  <si>
    <t>R1914-DWG-CV-00-178</t>
  </si>
  <si>
    <t>123-760-22RA-SE-141</t>
  </si>
  <si>
    <t>Secondary clarifier - Framing and details</t>
  </si>
  <si>
    <t>R1914-DWG-CV-00-179</t>
  </si>
  <si>
    <t>123-760-22RA-SE-142</t>
  </si>
  <si>
    <t>Secondary clarifier - Reinforcement</t>
  </si>
  <si>
    <t>R1914-DWG-CV-00-180</t>
  </si>
  <si>
    <t>123-760-22RA-SE-151</t>
  </si>
  <si>
    <t>Secondary flow distribution chamber and channel - Framing and details</t>
  </si>
  <si>
    <t>R1914-DWG-CV-00-181</t>
  </si>
  <si>
    <t>123-760-22RA-SE-152</t>
  </si>
  <si>
    <t>Secondary flow distribution chamber and channel - Reinforcement</t>
  </si>
  <si>
    <t>R1914-DWG-CV-00-228</t>
  </si>
  <si>
    <t>123-760-22RA-SE-153</t>
  </si>
  <si>
    <t>Secondary flow distibution chamber and channel steel structure and details</t>
  </si>
  <si>
    <t>R1914-DWG-CV-00-182</t>
  </si>
  <si>
    <t>123-760-22RA-SE-161</t>
  </si>
  <si>
    <t>Chlorine contact tank &amp; transfer PS - Framing and details</t>
  </si>
  <si>
    <t>R1914-DWG-CV-00-183</t>
  </si>
  <si>
    <t>123-760-22RA-SE-162</t>
  </si>
  <si>
    <t>Chlorine contact tank &amp; transfer PS - Reinforcement</t>
  </si>
  <si>
    <t>R1914-DWG-CV-00-184</t>
  </si>
  <si>
    <t>123-760-22RA-SE-171</t>
  </si>
  <si>
    <t>Emergency Lagoon PS  Framing and Details</t>
  </si>
  <si>
    <t>R1914-DWG-CV-00-185</t>
  </si>
  <si>
    <t>123-760-22RA-SE-172</t>
  </si>
  <si>
    <t>Emergency Lagoon PS  Reinforcement</t>
  </si>
  <si>
    <t>R1914-DWG-CV-00-186</t>
  </si>
  <si>
    <t>123-760-22RA-SE-181</t>
  </si>
  <si>
    <t>Filtrate Return PS  Framing and Details</t>
  </si>
  <si>
    <t>R1914-DWG-CV-00-187</t>
  </si>
  <si>
    <t>123-760-22RA-SE-182</t>
  </si>
  <si>
    <t>Filtrate Return PS  Reinforcement</t>
  </si>
  <si>
    <t>R1914-DWG-CV-00-188</t>
  </si>
  <si>
    <t>123-760-22RA-SE-191</t>
  </si>
  <si>
    <t>Primary scum PS foundation plan, sections &amp; details</t>
  </si>
  <si>
    <t>R1914-DWG-CV-00-189</t>
  </si>
  <si>
    <t>123-760-22RA-SE-192</t>
  </si>
  <si>
    <t>Primary scum PS  reinforcement</t>
  </si>
  <si>
    <t>R1914-DWG-CV-00-190</t>
  </si>
  <si>
    <t>123-760-22RA-SE-201</t>
  </si>
  <si>
    <t>TIE/TSE PS foundation plan, sections &amp; details</t>
  </si>
  <si>
    <t>R1914-DWG-CV-00-191</t>
  </si>
  <si>
    <t>123-760-22RA-SE-202</t>
  </si>
  <si>
    <t>TIE/TSE PS  Steel Structure Shelter  layout  &amp; details</t>
  </si>
  <si>
    <t>R1914-DWG-CV-00-229</t>
  </si>
  <si>
    <t>123-760-22RA-SE-203</t>
  </si>
  <si>
    <t>TIE/TSE PS Acces stairs</t>
  </si>
  <si>
    <t>R1914-DWG-CV-00-236</t>
  </si>
  <si>
    <t>123-760-22RA-SE-367</t>
  </si>
  <si>
    <t>TIE STORAGE TANK STAIRS FOUNDATION DETAILS</t>
  </si>
  <si>
    <t>R1914-DWG-CV-00-270</t>
  </si>
  <si>
    <t>123-760-22RA-SE-368</t>
  </si>
  <si>
    <t xml:space="preserve">PIPE SUPPORT LAYOUT &amp; DETAILS FOR INTERMEDIATE PUMPING STATION </t>
  </si>
  <si>
    <t>R1914-DWG-CV-00-271</t>
  </si>
  <si>
    <t>123-760-22RA-SE-369</t>
  </si>
  <si>
    <t>PIPE SUPPORT DETAILS FOR TIE/TSE PS sheet 2/2</t>
  </si>
  <si>
    <t>R1914-DWG-CV-00-192</t>
  </si>
  <si>
    <t>123-760-22RA-SE-211</t>
  </si>
  <si>
    <t>Disk Filters Foundation - Framing and details</t>
  </si>
  <si>
    <t>R1914-DWG-CV-00-193</t>
  </si>
  <si>
    <t>123-760-22RA-SE-212</t>
  </si>
  <si>
    <t>Disk Filters Foundation - Reinforcement</t>
  </si>
  <si>
    <t>R1914-DWG-CV-00-230</t>
  </si>
  <si>
    <t>123-760-22RA-SE-213</t>
  </si>
  <si>
    <r>
      <t xml:space="preserve">Disk filters </t>
    </r>
    <r>
      <rPr>
        <strike/>
        <sz val="11"/>
        <rFont val="Garamond"/>
        <family val="1"/>
      </rPr>
      <t>shelter</t>
    </r>
    <r>
      <rPr>
        <sz val="11"/>
        <rFont val="Garamond"/>
        <family val="1"/>
      </rPr>
      <t xml:space="preserve"> steel structure  layout  &amp; details</t>
    </r>
  </si>
  <si>
    <t>R1914-DWG-CV-00-231</t>
  </si>
  <si>
    <t>123-760-22RA-SE-214</t>
  </si>
  <si>
    <r>
      <t xml:space="preserve">Disk filters shelter </t>
    </r>
    <r>
      <rPr>
        <strike/>
        <sz val="11"/>
        <rFont val="Garamond"/>
        <family val="1"/>
      </rPr>
      <t>steel structure</t>
    </r>
    <r>
      <rPr>
        <sz val="11"/>
        <rFont val="Garamond"/>
        <family val="1"/>
      </rPr>
      <t xml:space="preserve"> Foundation details</t>
    </r>
  </si>
  <si>
    <t>R1914-DWG-CV-00-233</t>
  </si>
  <si>
    <t>123-760-22RA-SE-215</t>
  </si>
  <si>
    <t xml:space="preserve">Disk filters shelter steel structure  layout </t>
  </si>
  <si>
    <t>R1914-DWG-CV-00-234</t>
  </si>
  <si>
    <t>123-760-22RA-SE-216</t>
  </si>
  <si>
    <t>Disk filters shelter steel structure details</t>
  </si>
  <si>
    <t>R1914-DWG-CV-00-194</t>
  </si>
  <si>
    <t>123-760-22RA-SE-221</t>
  </si>
  <si>
    <t>Backwash return PS - Framing and details</t>
  </si>
  <si>
    <t>R1914-DWG-CV-00-195</t>
  </si>
  <si>
    <t>123-760-22RA-SE-222</t>
  </si>
  <si>
    <t>Backwash return PS - Reinforcement</t>
  </si>
  <si>
    <t>R1914-DWG-CV-00-196</t>
  </si>
  <si>
    <t>123-760-22RA-SE-231</t>
  </si>
  <si>
    <r>
      <t xml:space="preserve">Sludge dewatering unit - </t>
    </r>
    <r>
      <rPr>
        <strike/>
        <sz val="11"/>
        <rFont val="Garamond"/>
        <family val="1"/>
      </rPr>
      <t xml:space="preserve">footing/column/grade beam and </t>
    </r>
    <r>
      <rPr>
        <sz val="11"/>
        <rFont val="Garamond"/>
        <family val="1"/>
      </rPr>
      <t xml:space="preserve">-Foundation - framing and details  SHEET 1/2
 </t>
    </r>
  </si>
  <si>
    <t>R1914-DWG-CV-00-197</t>
  </si>
  <si>
    <t>123-760-22RA-SE-232</t>
  </si>
  <si>
    <r>
      <rPr>
        <strike/>
        <sz val="11"/>
        <rFont val="Garamond"/>
        <family val="1"/>
      </rPr>
      <t>Sludge dewatering unit - framing sections and typical details</t>
    </r>
    <r>
      <rPr>
        <sz val="11"/>
        <rFont val="Garamond"/>
        <family val="1"/>
      </rPr>
      <t xml:space="preserve"> Sludge dewatering unit - Foundation - Framing and details  SHEET 2/2</t>
    </r>
  </si>
  <si>
    <t>R1914-DWG-CV-00-198</t>
  </si>
  <si>
    <t>123-760-22RA-SE-361</t>
  </si>
  <si>
    <t>Sludge dewatering unit - Steel structure layout  SHEET 1</t>
  </si>
  <si>
    <t>R1914-DWG-CV-00-256</t>
  </si>
  <si>
    <t>123-760-22RA-SE-362</t>
  </si>
  <si>
    <t>Sludge dewatering unit - Steel structure layout  SHEET 2</t>
  </si>
  <si>
    <t>R1914-DWG-CV-00-257</t>
  </si>
  <si>
    <t>123-760-22RA-SE-363</t>
  </si>
  <si>
    <t>Sludge dewatering unit - Steel structure layout  SHEET 3</t>
  </si>
  <si>
    <t>R1914-DWG-CV-00-258</t>
  </si>
  <si>
    <t>123-760-22RA-SE-364</t>
  </si>
  <si>
    <t>Sludge dewatering unit - Steel structure layout  SHEET 4</t>
  </si>
  <si>
    <t>R1914-DWG-CV-00-259</t>
  </si>
  <si>
    <t>123-760-22RA-SE-365</t>
  </si>
  <si>
    <t>Sludge dewatering unit - Steel structure layout  SHEET 5</t>
  </si>
  <si>
    <t>R1914-DWG-CV-00-199</t>
  </si>
  <si>
    <t>123-760-22RA-SE-360</t>
  </si>
  <si>
    <t>Sludge dewatering unit - Steel structure details SHEET 1</t>
  </si>
  <si>
    <t>R1914-DWG-CV-00-266</t>
  </si>
  <si>
    <t>123-760-22RA-SE-366</t>
  </si>
  <si>
    <t>Sludge dewatering unit - Steel structure details SHEET 2</t>
  </si>
  <si>
    <t>R1914-DWG-CV-00-273</t>
  </si>
  <si>
    <t>123-760-22RA-SE-370</t>
  </si>
  <si>
    <t>ANALYZER (RWS-0120) FOUNDATION  DETAIL (SCREEN AND GRIT REMOVAL SIDE)</t>
  </si>
  <si>
    <t>R1914-DWG-CV-00-276</t>
  </si>
  <si>
    <t>123-760-22RA-SE-373</t>
  </si>
  <si>
    <t>Chemical building -  framing sections and typical details sheet 4/5</t>
  </si>
  <si>
    <t>R1914-DWG-CV-00-282</t>
  </si>
  <si>
    <t>123-760-22RA-SE-379</t>
  </si>
  <si>
    <t>Chemical building -  framing sections and typical details sheet 5/5</t>
  </si>
  <si>
    <t>R1914-DWG-CV-00-277</t>
  </si>
  <si>
    <t>123-760-22RA-SE-374</t>
  </si>
  <si>
    <t>chemical building -slab on grade /grade beam and roof framing sheet 2/2</t>
  </si>
  <si>
    <t>R1914-DWG-CV-00-278</t>
  </si>
  <si>
    <t>123-760-22RA-SE-375</t>
  </si>
  <si>
    <t>LIME STORAGE TANK FOUNDATION DRAWING</t>
  </si>
  <si>
    <t>R1914-DWG-CV-00-200</t>
  </si>
  <si>
    <t>123-760-22RA-SE-251</t>
  </si>
  <si>
    <t>Sludge Holding tank foundation plan, sections &amp; details</t>
  </si>
  <si>
    <t>R1914-DWG-CV-00-201</t>
  </si>
  <si>
    <t>123-760-22RA-SE-242</t>
  </si>
  <si>
    <t>Sludge Holding tank  reinforcement</t>
  </si>
  <si>
    <t>R1914-DWG-CV-00-202</t>
  </si>
  <si>
    <t>123-760-22RA-SE-261</t>
  </si>
  <si>
    <t>Foundation for Dia 4m Storage and Feed Facility Tank sections &amp; details</t>
  </si>
  <si>
    <t>R1914-DWG-CV-00-237</t>
  </si>
  <si>
    <t>123-760-22RA-SE-217</t>
  </si>
  <si>
    <t>VALVE CHAMBER -VC1- FRAMING AND DETAILS</t>
  </si>
  <si>
    <t>R1914-DWG-CV-00-238</t>
  </si>
  <si>
    <t>123-760-22RA-SE-218</t>
  </si>
  <si>
    <t>VALVE CHAMBER -VC1- REINFORCEMENT</t>
  </si>
  <si>
    <t>R1914-DWG-CV-00-247</t>
  </si>
  <si>
    <t>123-760-22RA-SE-219</t>
  </si>
  <si>
    <t xml:space="preserve"> DIESEL TANK FOUNDATION FRAMING AND DETAILS</t>
  </si>
  <si>
    <t>R1914-DWG-CV-00-252</t>
  </si>
  <si>
    <t>123-760-22RA-SE-139</t>
  </si>
  <si>
    <t xml:space="preserve">DEISEL TANK ACCES STAIR </t>
  </si>
  <si>
    <t>R1914-DWG-CV-00-262</t>
  </si>
  <si>
    <t>123-760-22RA-SE-286</t>
  </si>
  <si>
    <t>PIPE SUPPORT LAYOUT FOR TIE/TSE PS  sheet 1/2</t>
  </si>
  <si>
    <t>R1914-DWG-CV-00-261</t>
  </si>
  <si>
    <t>123-760-22RA-SE-243</t>
  </si>
  <si>
    <t>WEIGHBRIDGE FRAMING DETAILS</t>
  </si>
  <si>
    <t>R1914-DWG-CV-00-263</t>
  </si>
  <si>
    <t>123-760-22RA-SE-287</t>
  </si>
  <si>
    <r>
      <rPr>
        <strike/>
        <sz val="11"/>
        <rFont val="Garamond"/>
        <family val="1"/>
      </rPr>
      <t xml:space="preserve">5m </t>
    </r>
    <r>
      <rPr>
        <sz val="11"/>
        <rFont val="Garamond"/>
        <family val="1"/>
      </rPr>
      <t>CCTV POLE FOUNDATION</t>
    </r>
  </si>
  <si>
    <t>R1914-DWG-CV-00-268</t>
  </si>
  <si>
    <t>123-760-22RA-SE-298</t>
  </si>
  <si>
    <t xml:space="preserve">SLUDGE CONDITIONING TANKS FRAMING AND DETAILS </t>
  </si>
  <si>
    <t>R1914-DWG-CV-00-269</t>
  </si>
  <si>
    <t>123-760-22RA-SE-300</t>
  </si>
  <si>
    <t>SLUDGE CONDITIONNING TANK STEEL PLATFORM DETAIL</t>
  </si>
  <si>
    <t>R1914-DWG-CV-00-274</t>
  </si>
  <si>
    <t>123-760-22RA-SE-371</t>
  </si>
  <si>
    <t>Air Compressor Unit foundation drawing</t>
  </si>
  <si>
    <t>R1914-DWG-CV-00-275</t>
  </si>
  <si>
    <t>123-760-22RA-SE-372</t>
  </si>
  <si>
    <t>Air Compressor Shed Steel Structure layout and details</t>
  </si>
  <si>
    <t>R1914-DWG-CV-00-279</t>
  </si>
  <si>
    <t>123-760-22RA-SE-376</t>
  </si>
  <si>
    <t xml:space="preserve">POTABLE AND SERVICE WATER ROOM STEEL STRUCTURE   DRAWING
</t>
  </si>
  <si>
    <t>R1914-DWG-CV-00-280</t>
  </si>
  <si>
    <t>123-760-22RA-SE-377</t>
  </si>
  <si>
    <t>POTABLE AND SERVICE WATER ROOMS  FOUNDATION DRAWING</t>
  </si>
  <si>
    <t>R1914-DWG-CV-00-281</t>
  </si>
  <si>
    <t>123-760-22RA-SE-378</t>
  </si>
  <si>
    <t xml:space="preserve">CO2 MOTIVE PUMP STEEL STRUCTURE AND FOUNDATION DETAIL </t>
  </si>
  <si>
    <t>R1914-DWG-CV-00-283</t>
  </si>
  <si>
    <t>123-760-22RA-SE-388</t>
  </si>
  <si>
    <t>WEIGHBRIDGE CONTROLE CABIN LAYOUT</t>
  </si>
  <si>
    <t>R1914-DWG-CV-00-265</t>
  </si>
  <si>
    <t>123-760-22RA-SE-288</t>
  </si>
  <si>
    <t>ELECTRICAL BUILDING TRANSFORMER  FOUNDATION DETAILS</t>
  </si>
  <si>
    <t>R1914-DWG-CV-00-203</t>
  </si>
  <si>
    <t>123-760-22RA-SE-271</t>
  </si>
  <si>
    <r>
      <t>Chemical building - footing/column/</t>
    </r>
    <r>
      <rPr>
        <strike/>
        <sz val="11"/>
        <rFont val="Garamond"/>
        <family val="1"/>
      </rPr>
      <t>grade beam</t>
    </r>
    <r>
      <rPr>
        <sz val="11"/>
        <rFont val="Garamond"/>
        <family val="1"/>
      </rPr>
      <t xml:space="preserve"> and framing detail</t>
    </r>
  </si>
  <si>
    <t>R1914-DWG-CV-00-204</t>
  </si>
  <si>
    <t>123-760-22RA-SE-272</t>
  </si>
  <si>
    <t>Chemical building -  slab on grade beam roof framing</t>
  </si>
  <si>
    <t>R1914-DWG-CV-00-205</t>
  </si>
  <si>
    <t>123-760-22RA-SE-273</t>
  </si>
  <si>
    <t>Chemical building -  framing sections and typical details sheet 1/5</t>
  </si>
  <si>
    <t>R1914-DWG-CV-00-206</t>
  </si>
  <si>
    <r>
      <rPr>
        <strike/>
        <sz val="11"/>
        <rFont val="Garamond"/>
        <family val="1"/>
      </rPr>
      <t xml:space="preserve">123-760-22RA-SE-275-   </t>
    </r>
    <r>
      <rPr>
        <sz val="11"/>
        <rFont val="Garamond"/>
        <family val="1"/>
      </rPr>
      <t xml:space="preserve">                               123-760-22RA-SE-294</t>
    </r>
  </si>
  <si>
    <t>Chemical Building- Steel Structure layout</t>
  </si>
  <si>
    <t>R1914-DWG-CV-00-207</t>
  </si>
  <si>
    <t>123-760-22RA-SE-276</t>
  </si>
  <si>
    <t>Chemical Building- Steel Structure Details</t>
  </si>
  <si>
    <t>R1914-DWG-CV-00-438</t>
  </si>
  <si>
    <t>123-760-22RA-SE-238</t>
  </si>
  <si>
    <t>CHEMICAL BUILDING- TRANSFORMER FOUNDATION DETAIL</t>
  </si>
  <si>
    <t>R1914-DWG-CV-00-208</t>
  </si>
  <si>
    <t>123-760-22RA-SE-281</t>
  </si>
  <si>
    <t>Substation building - Foundations ground floor and roof framing</t>
  </si>
  <si>
    <t>R1914-DWG-CV-00-209</t>
  </si>
  <si>
    <t>123-760-22RA-SE-282</t>
  </si>
  <si>
    <t>Substation building - framing sections and typical details</t>
  </si>
  <si>
    <t>R1914-DWG-CV-00-244</t>
  </si>
  <si>
    <t>123-760-22RA-SE-283</t>
  </si>
  <si>
    <t>Substation building -diesel generator foudation  details</t>
  </si>
  <si>
    <t>R1914-DWG-CV-00-260</t>
  </si>
  <si>
    <t>123-760-22RA-SE-284</t>
  </si>
  <si>
    <r>
      <rPr>
        <strike/>
        <sz val="11"/>
        <rFont val="Garamond"/>
        <family val="1"/>
      </rPr>
      <t>5MVA</t>
    </r>
    <r>
      <rPr>
        <sz val="11"/>
        <rFont val="Garamond"/>
        <family val="1"/>
      </rPr>
      <t xml:space="preserve">   substation building   Transformer foundation detail
</t>
    </r>
  </si>
  <si>
    <t>R1914-DWG-CV-00-264</t>
  </si>
  <si>
    <t>123-760-22RA-SE-289</t>
  </si>
  <si>
    <t>RECTIFIER FOR TANK T401A/T401B  CONCRETE FOUNDATION DETAIL</t>
  </si>
  <si>
    <t>R1914-DWG-CV-00-210</t>
  </si>
  <si>
    <t>123-760-22RA-SE-291</t>
  </si>
  <si>
    <t>Electrical building - Foundations ground floor and roof framing  and reinforcement</t>
  </si>
  <si>
    <t>R1914-DWG-CV-00-211</t>
  </si>
  <si>
    <t>123-760-22RA-SE-292</t>
  </si>
  <si>
    <t>Electrical building - framing sections and typical details</t>
  </si>
  <si>
    <t>R1914-DWG-CV-00-267</t>
  </si>
  <si>
    <t>123-760-22RA-SE-293</t>
  </si>
  <si>
    <t>Chemical building -  framing sections and typical details sheet 2/5</t>
  </si>
  <si>
    <t>R1914-DWG-CV-00-399</t>
  </si>
  <si>
    <t>123-760-22RA-SE-387</t>
  </si>
  <si>
    <t>Chemical building -  framing sections and typical details sheet 3/5</t>
  </si>
  <si>
    <t>R1914-DWG-CV-00-212</t>
  </si>
  <si>
    <t>123-760-22RA-SE-301</t>
  </si>
  <si>
    <t>SEC Building - Foundations ground floor and roof framing</t>
  </si>
  <si>
    <t>R1914-DWG-CV-00-226</t>
  </si>
  <si>
    <t>123-760-22RA-SE-104</t>
  </si>
  <si>
    <r>
      <t xml:space="preserve">Primary flow destribution chamber and channel access </t>
    </r>
    <r>
      <rPr>
        <strike/>
        <sz val="11"/>
        <rFont val="Garamond"/>
        <family val="1"/>
      </rPr>
      <t xml:space="preserve">stairs </t>
    </r>
    <r>
      <rPr>
        <sz val="11"/>
        <rFont val="Garamond"/>
        <family val="1"/>
      </rPr>
      <t>platform</t>
    </r>
  </si>
  <si>
    <t>R1914-DWG-CV-00-213</t>
  </si>
  <si>
    <t>123-760-22RA-SE-302</t>
  </si>
  <si>
    <t>SEC Building  - framing sections and typical details</t>
  </si>
  <si>
    <t>R1914-SPC-TL-00-001</t>
  </si>
  <si>
    <t>123-C01R-G65-22RA-TA-001</t>
  </si>
  <si>
    <t xml:space="preserve">Data Transmission System Specification </t>
  </si>
  <si>
    <t>R1914-SPC-TL-00-002</t>
  </si>
  <si>
    <t>123-C01R-G65-22RA-TA-002</t>
  </si>
  <si>
    <t>Telephone system specification (IP Telephony)</t>
  </si>
  <si>
    <t>R1914-SPC-TL-00-003</t>
  </si>
  <si>
    <t>123-C01R-G65-22RA-TA-003</t>
  </si>
  <si>
    <t xml:space="preserve"> Access Control System Specification </t>
  </si>
  <si>
    <t>R1914-SPC-TL-00-004</t>
  </si>
  <si>
    <t>123-C01R-G65-22RA-TA-004</t>
  </si>
  <si>
    <t>CCTV system specification</t>
  </si>
  <si>
    <t>R1914-SPC-TL-00-005</t>
  </si>
  <si>
    <t>123-C01R-G65-22RA-TA-005</t>
  </si>
  <si>
    <t>Public adress system specification</t>
  </si>
  <si>
    <t>R1914-DWG-TL-00-001</t>
  </si>
  <si>
    <t>123-211-22RA-TE-001</t>
  </si>
  <si>
    <t>Telecom legends and abbreviations</t>
  </si>
  <si>
    <t>R1914-DWG-TL-00-002</t>
  </si>
  <si>
    <t>123-211-22RA-TE-002</t>
  </si>
  <si>
    <t>Telecommunication site location MAP</t>
  </si>
  <si>
    <t>R1914-DWG-TL-00-003</t>
  </si>
  <si>
    <t>123-211-22RA-TE-003</t>
  </si>
  <si>
    <t>BUILDING  LAYOUT DRAWING</t>
  </si>
  <si>
    <t>R1914-DWG-TL-00-004</t>
  </si>
  <si>
    <t>123-211-22RA-TE-004</t>
  </si>
  <si>
    <t>Telecom Systems Secondary Duct Bank and Cable Layout</t>
  </si>
  <si>
    <t>R1914-DWG-TL-00-005</t>
  </si>
  <si>
    <t>123-211-22RA-TE-005</t>
  </si>
  <si>
    <t>Telecommunication hand hole plan</t>
  </si>
  <si>
    <t>R1914-DWG-TL-00-006</t>
  </si>
  <si>
    <t>123-211-22RA-TE-006</t>
  </si>
  <si>
    <t>Telecommunication hand hole and duct bank sectional details I</t>
  </si>
  <si>
    <t>R1914-DWG-TL-00-007</t>
  </si>
  <si>
    <t>123-211-22RA-TE-007</t>
  </si>
  <si>
    <t xml:space="preserve"> IWTP  Telecom &amp; fiber optic Inter Building Block Diagram</t>
  </si>
  <si>
    <t>R1914-DWG-TL-00-008</t>
  </si>
  <si>
    <t>123-211-22RA-TE-008</t>
  </si>
  <si>
    <t>Inter Building Fiber  optic Network Schematic Diagram</t>
  </si>
  <si>
    <t>R1914-DWG-TL-00-009</t>
  </si>
  <si>
    <t>123-211-22RA-TE-009</t>
  </si>
  <si>
    <t>CCTV BLOCK DIAGRAM</t>
  </si>
  <si>
    <t>R1914-DWG-TL-00-010</t>
  </si>
  <si>
    <t>123-211-22RA-TE-010</t>
  </si>
  <si>
    <t>CCTV SYSTEM  SINGLE LINE RISER DIAGRAM</t>
  </si>
  <si>
    <t>R1914-DWG-TL-00-011</t>
  </si>
  <si>
    <t>123-211-22RA-TE-011</t>
  </si>
  <si>
    <t>CHEMICAL BUILDING CCTV SYSTEM LAYOUT AND SINGLE LINE RISER DIAGRAM</t>
  </si>
  <si>
    <t>R1914-DWG-TL-00-012</t>
  </si>
  <si>
    <t>123-211-22RA-TE-012</t>
  </si>
  <si>
    <t>PROCESS AND ELECTRICAL BUILDING CCTV SYSTEM LAYOUT AND SINGLE LINE RISER DIAGRAM</t>
  </si>
  <si>
    <t>R1914-DWG-TL-00-013</t>
  </si>
  <si>
    <t>123-211-22RA-TE-013</t>
  </si>
  <si>
    <t>SUBSTATION BUILDING CCTV SYSTEM LAYOUT AND SINGLE LINE RISER DIAGRAM</t>
  </si>
  <si>
    <t>R1914-DWG-TL-00-014</t>
  </si>
  <si>
    <t>123-211-22RA-TE-014</t>
  </si>
  <si>
    <t xml:space="preserve">ACCESS  SYSTEM SINGLE LINE  RISER LINE DIAGRAM </t>
  </si>
  <si>
    <t>R1914-DWG-TL-00-015</t>
  </si>
  <si>
    <t>123-211-22RA-TE-015</t>
  </si>
  <si>
    <t>CHEMICAL BUILDING ACCESS SYSTEM LAYOUT AND SINGLE LINE RISER DIAGRAM</t>
  </si>
  <si>
    <t>R1914-DWG-TL-00-016</t>
  </si>
  <si>
    <t>123-211-22RA-TE-016</t>
  </si>
  <si>
    <t>PROCESS AND ELECTRICAL BUILDING ACCESS SYSTEM LAYOUT AND SINGLE LINE RISER DIAGRAM</t>
  </si>
  <si>
    <t>R1914-DWG-TL-00-017</t>
  </si>
  <si>
    <t>123-211-22RA-TE-017</t>
  </si>
  <si>
    <t>SUBSTATION BUILDING ACCESS SYSTEM LAYOUT AND SINGLE LINE RISER DIAGRAM</t>
  </si>
  <si>
    <t>R1914-DWG-TL-00-018</t>
  </si>
  <si>
    <t>123-211-22RA-TE-018</t>
  </si>
  <si>
    <t>Telephone, Data SINGLE LINE RISER Diagram</t>
  </si>
  <si>
    <t>R1914-DWG-TL-00-019</t>
  </si>
  <si>
    <t>123-211-22RA-TE-019</t>
  </si>
  <si>
    <t>CHEMICAL BUILDING  TELEPHONE-DATA SYSTEM LAYOUT &amp; SINGLE LINE RISER  DIAGRAM</t>
  </si>
  <si>
    <t>R1914-DWG-TL-00-020</t>
  </si>
  <si>
    <t>123-211-22RA-TE-020</t>
  </si>
  <si>
    <t>PROCESS AND ELECTRICAL BUILDING   TELEPHONE-DATA SYSTEM LAYOUT &amp; SINGLE LINE RISER  DIAGRAM</t>
  </si>
  <si>
    <t>R1914-DWG-TL-00-021</t>
  </si>
  <si>
    <t>123-211-22RA-TE-021</t>
  </si>
  <si>
    <t>SUBSTATION BUILDING TELEPHONE-DATA SYSTEM LAYOUT &amp; SINGLE LINE RISER  DIAGRAM</t>
  </si>
  <si>
    <t>R1914-DWG-TL-00-022</t>
  </si>
  <si>
    <t>123-211-22RA-TE-022</t>
  </si>
  <si>
    <t>Public Adress System SINGLE LINE RISER Diagram</t>
  </si>
  <si>
    <t>R1914-DWG-TL-00-023</t>
  </si>
  <si>
    <t>123-211-22RA-TE-023</t>
  </si>
  <si>
    <t>CHEMICAL BUILDING PUBLIC ADDRESS SYSTEM LAYOUT AND SINGLE LINE RISER DIAGRAM</t>
  </si>
  <si>
    <t>R1914-DWG-TL-00-024</t>
  </si>
  <si>
    <t>123-211-22RA-TE-024</t>
  </si>
  <si>
    <t>PROCESS AND ELECTRICAL BUILDING  PUBLIC ADDRESS SYSTEM LAYOUT AND SINGLE LINE RISER DIAGRAM</t>
  </si>
  <si>
    <t>R1914-DWG-TL-00-025</t>
  </si>
  <si>
    <t>123-211-22RA-TE-025</t>
  </si>
  <si>
    <t>SUBSTATION BUILDING  PUBLIC ADDRESS SYSTEM LAYOUT AND SINGLE LINE RISER DIAGRAM</t>
  </si>
  <si>
    <t>R1914-DWG-TL-00-026</t>
  </si>
  <si>
    <t>123-211-22RA-TE-026</t>
  </si>
  <si>
    <t>Telecom Systems Building Layout</t>
  </si>
  <si>
    <t>R1914-DWG-TL-00-027</t>
  </si>
  <si>
    <t>123-211-22RA-TE-027</t>
  </si>
  <si>
    <t>Telecom equipments room LAYOUT</t>
  </si>
  <si>
    <t>R1914-DWG-TL-00-029</t>
  </si>
  <si>
    <t>123-211-22RA-TE-029</t>
  </si>
  <si>
    <t>CAMERAS MOUNTING DETAILS</t>
  </si>
  <si>
    <t>R1914-DWG-TL-00-030</t>
  </si>
  <si>
    <t>123-211-22RA-TE-030</t>
  </si>
  <si>
    <t>Speaker and microphone outlet mounting details</t>
  </si>
  <si>
    <t>R1914-DWG-TL-00-032</t>
  </si>
  <si>
    <t>123-211-22RA-TE-032</t>
  </si>
  <si>
    <t>Telecommunication joint box DETAILS</t>
  </si>
  <si>
    <t>R1914-DWG-TL-00-033</t>
  </si>
  <si>
    <t>123-211-22RA-TE-033</t>
  </si>
  <si>
    <t>Telecom Cable Schedule  I</t>
  </si>
  <si>
    <t>R1914-DWG-TL-00-034</t>
  </si>
  <si>
    <t>123-211-22RA-TE-034</t>
  </si>
  <si>
    <t>Typical Duct Bank details</t>
  </si>
  <si>
    <t>R1914-DWG-TL-00-035</t>
  </si>
  <si>
    <t>123-211-22RA-TE-035</t>
  </si>
  <si>
    <t>Telecommunication hand hole and duct bank sectional details II</t>
  </si>
  <si>
    <t>R1914-DWG-TL-00-036</t>
  </si>
  <si>
    <t>123-211-22RA-TE-036</t>
  </si>
  <si>
    <t>Telecommunication hand hole and duct bank sectional details  III</t>
  </si>
  <si>
    <t>R1914-DWG-TL-00-037</t>
  </si>
  <si>
    <t>123-211-22RA-TE-037</t>
  </si>
  <si>
    <t>Telecommunication hand hole and duct bank sectional details IV</t>
  </si>
  <si>
    <t>R1914-DWG-TL-00-038</t>
  </si>
  <si>
    <t>123-211-22RA-TE-038</t>
  </si>
  <si>
    <t>Telecom Cable Schedule II</t>
  </si>
  <si>
    <t>R1914-DWG-TL-00-039</t>
  </si>
  <si>
    <t>123-211-22RA-TE-039</t>
  </si>
  <si>
    <t>Telecom Cable Schedule  III</t>
  </si>
  <si>
    <t>R1914-DWG-TL-00-041</t>
  </si>
  <si>
    <t>123-211-22RA-TE-041</t>
  </si>
  <si>
    <t>overall TELECOM CABLE SCHEDULE</t>
  </si>
  <si>
    <t>R1914-DWG-TL-00-042</t>
  </si>
  <si>
    <t>123-211-22RA-TE-042</t>
  </si>
  <si>
    <t>TELECOM SYSTEMS INTERFACE DIAGRAM</t>
  </si>
  <si>
    <t>R1914-DWG-TL-00-040</t>
  </si>
  <si>
    <t>123-211-22RA-TE-040</t>
  </si>
  <si>
    <t>Telecom Cable Schedule IV</t>
  </si>
  <si>
    <t>R1914-CLC-EL-00-001</t>
  </si>
  <si>
    <t>123-C01R-CALC-22RA-EA-001</t>
  </si>
  <si>
    <t>CALCULATION LOAD NORMAL OPERATION</t>
  </si>
  <si>
    <t>R1914-CLC-EL-00-002</t>
  </si>
  <si>
    <t>123-C01R-CALC-22RA-EA-002</t>
  </si>
  <si>
    <t>CALCULATION LOAD STANDBY OPERATION</t>
  </si>
  <si>
    <t>R1914-CLC-EL-00-005</t>
  </si>
  <si>
    <t>123-C01R-CALC-22RA-EA-003</t>
  </si>
  <si>
    <r>
      <rPr>
        <strike/>
        <sz val="11"/>
        <rFont val="Garamond"/>
        <family val="1"/>
      </rPr>
      <t>34,5 KV POWER CABLE CALCULATION</t>
    </r>
    <r>
      <rPr>
        <sz val="11"/>
        <rFont val="Garamond"/>
        <family val="1"/>
      </rPr>
      <t xml:space="preserve"> MV POWER CABLE CALCULATION </t>
    </r>
  </si>
  <si>
    <t>R1914-CLC-EL-00-008</t>
  </si>
  <si>
    <t>123-C01R-CALC-22RA-EA-006</t>
  </si>
  <si>
    <r>
      <rPr>
        <strike/>
        <sz val="11"/>
        <rFont val="Garamond"/>
        <family val="1"/>
      </rPr>
      <t>0,38 KV</t>
    </r>
    <r>
      <rPr>
        <sz val="11"/>
        <rFont val="Garamond"/>
        <family val="1"/>
      </rPr>
      <t xml:space="preserve"> LV POWER CABLE CALCULATION</t>
    </r>
  </si>
  <si>
    <t>R1914-CLC-EL-00-012</t>
  </si>
  <si>
    <t>123-C01R-CALC-22RA-EA-007</t>
  </si>
  <si>
    <t>DETAILED CALCULATION FOR  ELECTRICAL EQUIPEMENT</t>
  </si>
  <si>
    <t>R1914-CLC-EL-00-013</t>
  </si>
  <si>
    <t>123-C01R-CALC-22RA-EA-008</t>
  </si>
  <si>
    <t>OVERALL CALCULATION OF EARTHING &amp; LIGHTNING PROTECTION SYSTEMS</t>
  </si>
  <si>
    <t>R1914-CLC-EL-00-014</t>
  </si>
  <si>
    <t>123-C01R-CALC-22RA-EA-009</t>
  </si>
  <si>
    <t>INDOOR LIGHTING SYSTEM CALCULATION</t>
  </si>
  <si>
    <t>R1914-CLC-EL-00-015</t>
  </si>
  <si>
    <t>123-C01R-CALC-22RA-EA-010</t>
  </si>
  <si>
    <t>OVERALL OUTDOOR LIGHTING SYSTEM CALCULATION</t>
  </si>
  <si>
    <t>R1914-CLC-EL-00-024</t>
  </si>
  <si>
    <t>123-C01R-CALC-22RA-EA-018</t>
  </si>
  <si>
    <t>UPS System Calculation Notes</t>
  </si>
  <si>
    <t>R1914-CLC-EL-00-017</t>
  </si>
  <si>
    <t>123-C01R-CALC-22RA-EA-011</t>
  </si>
  <si>
    <t>POWER FLOW STUDY</t>
  </si>
  <si>
    <t>R1914-CLC-EL-00-018</t>
  </si>
  <si>
    <t>123-C01R-CALC-22RA-EA-012</t>
  </si>
  <si>
    <t>SHORT CIRCUIT STUDY</t>
  </si>
  <si>
    <t>R1914-CLC-EL-00-019</t>
  </si>
  <si>
    <t>123-C01R-CALC-22RA-EA-013</t>
  </si>
  <si>
    <t>MOTOR STARTING STUDY</t>
  </si>
  <si>
    <t>R1914-CLC-EL-00-020</t>
  </si>
  <si>
    <t>123-C01R-CALC-22RA-EA-014</t>
  </si>
  <si>
    <t>COORDINATION STUDY</t>
  </si>
  <si>
    <t>R1914-CLC-EL-00-021</t>
  </si>
  <si>
    <t>123-C01R-CALC-22RA-EA-015</t>
  </si>
  <si>
    <t>ARC FLASH STUDY</t>
  </si>
  <si>
    <t>R1914-CLC-EL-00-022</t>
  </si>
  <si>
    <t>123-C01R-CALC-22RA-EA-016</t>
  </si>
  <si>
    <t>RELAY SETTING TABLES</t>
  </si>
  <si>
    <t>R1914-CLC-EL-00-023</t>
  </si>
  <si>
    <t>123-C01R-CALC-22RA-EA-017</t>
  </si>
  <si>
    <t>Harmonic Analysis</t>
  </si>
  <si>
    <t>R1914-SPC-FG-00-002</t>
  </si>
  <si>
    <t>123-C01R-G65-22RA-EA-010</t>
  </si>
  <si>
    <t>FIRE ALARM SYSTEM REQUIREMENTS</t>
  </si>
  <si>
    <t>R1914-SPC-FG-00-003</t>
  </si>
  <si>
    <t>123-C01R-G65-22RA-EA-011</t>
  </si>
  <si>
    <t>Fire Alarm DETECTION System Specification</t>
  </si>
  <si>
    <t>R1914-LIS-FG-00-002</t>
  </si>
  <si>
    <t>123-C01R-G65-22RA-EA-012</t>
  </si>
  <si>
    <t>Fire Alarm Cause &amp; Effect Diagram</t>
  </si>
  <si>
    <t>R1914-LIS-FG-00-004</t>
  </si>
  <si>
    <t>123-C01R-G65-22RA-EA-014</t>
  </si>
  <si>
    <t>Fire Alarm cables schedule</t>
  </si>
  <si>
    <t>R1914-DSH-FG-00-002</t>
  </si>
  <si>
    <t>123-C01R-G65-22RA-EA-015</t>
  </si>
  <si>
    <t>Fire Alarm equipment datasheet</t>
  </si>
  <si>
    <t>R1914-DWG-EL-00-032</t>
  </si>
  <si>
    <t>123-410-22RA-EE-001</t>
  </si>
  <si>
    <t>ELECTRICAL INDEX OF DRAWING</t>
  </si>
  <si>
    <t>R1914-DWG-EL-00-007</t>
  </si>
  <si>
    <t>123-410-22RA-EE-002</t>
  </si>
  <si>
    <t>SYMBOLS &amp; ABBREVIATIONS</t>
  </si>
  <si>
    <t>R1914-DWG-EL-00-033</t>
  </si>
  <si>
    <t>123-410-22RA-EE-003</t>
  </si>
  <si>
    <r>
      <t xml:space="preserve">KEY ONE LINE DIAGRAM </t>
    </r>
    <r>
      <rPr>
        <strike/>
        <sz val="11"/>
        <rFont val="Garamond"/>
        <family val="1"/>
      </rPr>
      <t>&amp; POWER DISTRIBUTION</t>
    </r>
  </si>
  <si>
    <t>R1914-DWG-EL-00-008</t>
  </si>
  <si>
    <t>123-410-22RA-EE-004</t>
  </si>
  <si>
    <t>AREA CLASSIFICATION LAYOUT</t>
  </si>
  <si>
    <t>R1914-DWG-EL-00-009</t>
  </si>
  <si>
    <t>123-410-22RA-EE-005</t>
  </si>
  <si>
    <t>SITE POWER, SIGNAL AND CONTROL DISTRIBUTION I</t>
  </si>
  <si>
    <t>R1914-DWG-EL-00-010</t>
  </si>
  <si>
    <t>123-410-22RA-EE-006</t>
  </si>
  <si>
    <t>EQUIPMENT POWER PLAN I</t>
  </si>
  <si>
    <t>R1914-DWG-EL-00-012</t>
  </si>
  <si>
    <t>123-410-22RA-EE-008</t>
  </si>
  <si>
    <t>OVERALL ELECTRICAL SINGLE LINE DIAGRAM I</t>
  </si>
  <si>
    <t>R1914-DWG-EL-00-013</t>
  </si>
  <si>
    <t>123-410-22RA-EE-009</t>
  </si>
  <si>
    <t>OVERALL ELECTRICAL SINGLE LINE DIAGRAM II</t>
  </si>
  <si>
    <t>R1914-DWG-EL-00-034</t>
  </si>
  <si>
    <t>123-410-22RA-EE-010</t>
  </si>
  <si>
    <t>OVERALL ELECTRICAL SINGLE LINE DIAGRAM III</t>
  </si>
  <si>
    <t>R1914-DWG-EL-00-035</t>
  </si>
  <si>
    <t>123-410-22RA-EE-011</t>
  </si>
  <si>
    <t>OVERALL ELECTRICAL SINGLE LINE DIAGRAM IV</t>
  </si>
  <si>
    <t>R1914-DWG-EL-00-014</t>
  </si>
  <si>
    <t>123-410-22RA-EE-012</t>
  </si>
  <si>
    <t>LOW VOLTAGE SINGLE LINE DIAGRAM I</t>
  </si>
  <si>
    <t>R1914-DWG-EL-00-015</t>
  </si>
  <si>
    <t>123-410-22RA-EE-013</t>
  </si>
  <si>
    <t>LOW VOLTAGE SINGLE LINE DIAGRAM II</t>
  </si>
  <si>
    <t>R1914-DWG-EL-00-016</t>
  </si>
  <si>
    <t>123-410-22RA-EE-014</t>
  </si>
  <si>
    <t>LOW VOLTAGE SINGLE LINE DIAGRAM III</t>
  </si>
  <si>
    <t>R1914-DWG-EL-00-017</t>
  </si>
  <si>
    <t>123-410-22RA-EE-015</t>
  </si>
  <si>
    <t>LOW VOLTAGE SINGLE LINE DIAGRAM IV</t>
  </si>
  <si>
    <t>R1914-DWG-EL-00-020</t>
  </si>
  <si>
    <t>123-410-22RA-EE-016</t>
  </si>
  <si>
    <t>SINGLE LINE DIAGRAMS OF BUILDING UTILITIES BOARDS (LIGHTING, SOCKETS)</t>
  </si>
  <si>
    <t>R1914-DWG-EL-00-021</t>
  </si>
  <si>
    <t>123-410-22RA-EE-017</t>
  </si>
  <si>
    <t>SINGLE LINE DIAGRAM OF EXTERNAL LIGHTING SWITSCHBOARDS I</t>
  </si>
  <si>
    <t>R1914-DWG-EL-00-022</t>
  </si>
  <si>
    <t>123-410-22RA-EE-018</t>
  </si>
  <si>
    <t>SINGLE LINE DIAGRAM FOR AC &amp; DC UPS</t>
  </si>
  <si>
    <t>R1914-DWG-EL-00-036</t>
  </si>
  <si>
    <t>123-410-22RA-EE-019</t>
  </si>
  <si>
    <t>OVERALL GROUNDING SYSTEMS LAYOUT</t>
  </si>
  <si>
    <t>R1914-DWG-EL-00-023</t>
  </si>
  <si>
    <t>123-410-22RA-EE-020</t>
  </si>
  <si>
    <t>GROUNDING SYSTEM LAYOUT I</t>
  </si>
  <si>
    <t>R1914-DWG-EL-00-024</t>
  </si>
  <si>
    <t>123-410-22RA-EE-021</t>
  </si>
  <si>
    <t>GROUNDING SYSTEM LAYOUT II</t>
  </si>
  <si>
    <t>R1914-DWG-EL-00-053</t>
  </si>
  <si>
    <t>123-410-22RA-EE-022</t>
  </si>
  <si>
    <t>GROUNDING SYSTEM LAYOUT III</t>
  </si>
  <si>
    <t>R1914-DWG-EL-00-025</t>
  </si>
  <si>
    <t>123-410-22RA-EE-023</t>
  </si>
  <si>
    <t>OVERALL LIGHTNING PROTECTION SYSTEMS LAYOUT</t>
  </si>
  <si>
    <t>R1914-DWG-EL-00-037</t>
  </si>
  <si>
    <t>123-410-22RA-EE-024</t>
  </si>
  <si>
    <t xml:space="preserve"> LIGHTNING PROTECTION SYSTEMS LAYOUT I</t>
  </si>
  <si>
    <t>R1914-DWG-EL-00-038</t>
  </si>
  <si>
    <t>123-410-22RA-EE-025</t>
  </si>
  <si>
    <t xml:space="preserve"> LIGHTNING PROTECTION SYSTEMS LAYOUT II</t>
  </si>
  <si>
    <t>R1914-DWG-EL-00-026</t>
  </si>
  <si>
    <t>123-410-22RA-EE-026</t>
  </si>
  <si>
    <t>ELECTRICAL LIGHTING LAYOUT I</t>
  </si>
  <si>
    <t>R1914-DWG-EL-00-028</t>
  </si>
  <si>
    <t>123-410-22RA-EE-028</t>
  </si>
  <si>
    <t>EXTERNAL LIGHTING LAYOUT</t>
  </si>
  <si>
    <t>R1914-DWG-EL-00-039</t>
  </si>
  <si>
    <t>123-410-22RA-EE-029</t>
  </si>
  <si>
    <t>SUBSTATION BUILDING LAYOUT &amp; DETAILS</t>
  </si>
  <si>
    <t>R1914-DWG-EL-00-040</t>
  </si>
  <si>
    <t>123-410-22RA-EE-030</t>
  </si>
  <si>
    <t>ELECTRICAL BUILDING LAYOUT &amp; DETAILS</t>
  </si>
  <si>
    <t>R1914-DWG-EL-00-041</t>
  </si>
  <si>
    <t>123-410-22RA-EE-031</t>
  </si>
  <si>
    <t>CHEMICAL BUILDING ELECTRICAL ROOM LAYOUT &amp; DETAILS</t>
  </si>
  <si>
    <t>R1914-DWG-EL-00-042</t>
  </si>
  <si>
    <t>123-410-22RA-EE-032</t>
  </si>
  <si>
    <t>IWTP SWITCHGEAR ROOM  LAYOUT &amp; DETAILS</t>
  </si>
  <si>
    <t>R1914-DWG-EL-00-043</t>
  </si>
  <si>
    <t>123-410-22RA-EE-033</t>
  </si>
  <si>
    <t>TYPICAL PADMOUNTED TRANSFORMER INSTALATION LAYOUT &amp; DETAILS I</t>
  </si>
  <si>
    <t>R1914-DWG-EL-00-044</t>
  </si>
  <si>
    <t>123-410-22RA-EE-034</t>
  </si>
  <si>
    <t>TYPICAL PADMOUNTED TRANSFORMER INSTALATION LAYOUT &amp; DETAILS II</t>
  </si>
  <si>
    <t>R1914-DWG-EL-00-029</t>
  </si>
  <si>
    <t>123-410-22RA-EE-035</t>
  </si>
  <si>
    <t>EXTERNAL LIGHTING MISCELLANEOUS DETAILS</t>
  </si>
  <si>
    <t>R1914-DWG-EL-00-030</t>
  </si>
  <si>
    <t>123-410-22RA-EE-036</t>
  </si>
  <si>
    <t>POWER DISTRIBUTION MISCELLANEOUS DETAILS I</t>
  </si>
  <si>
    <t>R1914-DWG-EL-00-045</t>
  </si>
  <si>
    <t>123-410-22RA-EE-058</t>
  </si>
  <si>
    <t>POWER DISTRIBUTION MISCELLANEOUS DETAILS II</t>
  </si>
  <si>
    <t>R1914-DWG-EL-00-054</t>
  </si>
  <si>
    <t>123-410-22RA-EE-068</t>
  </si>
  <si>
    <t>POWER DISTRIBUTION MISCELLANEOUS DETAILS III</t>
  </si>
  <si>
    <t>R1914-DWG-EL-00-055</t>
  </si>
  <si>
    <t>123-410-22RA-EE-069</t>
  </si>
  <si>
    <t>POWER DISTRIBUTION MISCELLANEOUS DETAILS IV</t>
  </si>
  <si>
    <t>R1914-DWG-EL-00-056</t>
  </si>
  <si>
    <t>123-410-22RA-EE-070</t>
  </si>
  <si>
    <t>POWER DISTRIBUTION MISCELLANEOUS DETAILS V</t>
  </si>
  <si>
    <t>R1914-DWG-EL-00-031</t>
  </si>
  <si>
    <t>123-410-22RA-EE-059</t>
  </si>
  <si>
    <t>Cable and conduit shedule</t>
  </si>
  <si>
    <t>R1914-DWG-EL-00-046</t>
  </si>
  <si>
    <t>123-410-22RA-EE-060</t>
  </si>
  <si>
    <t>MISCELLANEOUS ELECTRICAL DETAILS I</t>
  </si>
  <si>
    <t>R1914-DWG-EL-00-047</t>
  </si>
  <si>
    <t>123-410-22RA-EE-061</t>
  </si>
  <si>
    <t>MISCELLANEOUS ELECTRICAL DETAILS II</t>
  </si>
  <si>
    <t>R1914-DWG-EL-00-048</t>
  </si>
  <si>
    <t>123-410-22RA-EE-062</t>
  </si>
  <si>
    <t>MISCELLANEOUS ELECTRICAL DETAILS III</t>
  </si>
  <si>
    <t>R1914-DWG-EL-00-049</t>
  </si>
  <si>
    <t>123-410-22RA-EE-063</t>
  </si>
  <si>
    <t>MISCELLANEOUS ELECTRICAL DETAILS IV</t>
  </si>
  <si>
    <t>R1914-DWG-EL-00-050</t>
  </si>
  <si>
    <t>123-410-22RA-EE-056</t>
  </si>
  <si>
    <t>OVERALL ELECTRICAL SINGLE LINE DIAGRAM V</t>
  </si>
  <si>
    <t>R1914-DWG-EL-00-051</t>
  </si>
  <si>
    <t>123-410-22RA-EE-057</t>
  </si>
  <si>
    <t>OVERALL ELECTRICAL SINGLE LINE DIAGRAM VI</t>
  </si>
  <si>
    <t>R1914-DWG-EL-00-057</t>
  </si>
  <si>
    <t>123-410-22RA-EE-177</t>
  </si>
  <si>
    <t>POWER DISTRIBUTION MISCELLANEOUS DETAILS VI</t>
  </si>
  <si>
    <t>R1914-DWG-EL-00-058</t>
  </si>
  <si>
    <t>123-410-22RA-EE-178</t>
  </si>
  <si>
    <t>POWER DISTRIBUTION MISCELLANEOUS DETAILS VII</t>
  </si>
  <si>
    <t>R1914-DWG-EL-00-059</t>
  </si>
  <si>
    <t>123-410-22RA-EE-179</t>
  </si>
  <si>
    <t>SINGLE LINE DIAGRAM OF EXTERNAL LIGHTING SWITSCHBOARDS II</t>
  </si>
  <si>
    <t>R1914-DWG-EL-00-060</t>
  </si>
  <si>
    <t>123-410-22RA-EE-180</t>
  </si>
  <si>
    <t>SINGLE LINE DIAGRAM OF EXTERNAL LIGHTING SWITSCHBOARDS III</t>
  </si>
  <si>
    <t>R1914-DWG-EL-00-064</t>
  </si>
  <si>
    <t>123-410-22RA-EE-181</t>
  </si>
  <si>
    <t>POWER DISTRIBUTION MISCELLANEOUS DETAILS VIII</t>
  </si>
  <si>
    <t>R1914-DWG-EL-00-065</t>
  </si>
  <si>
    <t>123-410-22RA-EE-182</t>
  </si>
  <si>
    <t>POWER DISTRIBUTION MISCELLANEOUS DETAILS IX</t>
  </si>
  <si>
    <t>R1914-DWG-EL-00-066</t>
  </si>
  <si>
    <t>123-410-22RA-EE-183</t>
  </si>
  <si>
    <t>POWER DISTRIBUTION MISCELLANEOUS DETAILS X</t>
  </si>
  <si>
    <t>R1914-DWG-EL-00-082</t>
  </si>
  <si>
    <t>123-410-22RA-EE-210</t>
  </si>
  <si>
    <t>POWER DISTRIBUTION MISCELLANEOUS DETAILS XI</t>
  </si>
  <si>
    <t>R1914-DWG-EL-00-083</t>
  </si>
  <si>
    <t>123-410-22RA-EE-211</t>
  </si>
  <si>
    <t>POWER DISTRIBUTION MISCELLANEOUS DETAILS XII</t>
  </si>
  <si>
    <t>R1914-DWG-EL-00-091</t>
  </si>
  <si>
    <t>123-410-22RA-EE-225</t>
  </si>
  <si>
    <t>POWER DISTRIBUTION MISCELLANEOUS DETAILS XIII</t>
  </si>
  <si>
    <t>R1914-DWG-EL-00-067</t>
  </si>
  <si>
    <t>123-410-22RA-EE-184</t>
  </si>
  <si>
    <t>SITE POWER, SIGNAL AND CONTROL DISTRIBUTION II</t>
  </si>
  <si>
    <t>R1914-DWG-EL-00-068</t>
  </si>
  <si>
    <t>123-410-22RA-EE-185</t>
  </si>
  <si>
    <t>SITE POWER, SIGNAL AND CONTROL DISTRIBUTION III</t>
  </si>
  <si>
    <t>R1914-DWG-EL-00-069</t>
  </si>
  <si>
    <t>123-410-22RA-EE-186</t>
  </si>
  <si>
    <t>SITE POWER, SIGNAL AND CONTROL DISTRIBUTION IV</t>
  </si>
  <si>
    <t>R1914-DWG-EL-00-070</t>
  </si>
  <si>
    <t>123-410-22RA-EE-187</t>
  </si>
  <si>
    <t>SITE POWER, SIGNAL AND CONTROL DISTRIBUTION V</t>
  </si>
  <si>
    <t>R1914-DWG-EL-00-071</t>
  </si>
  <si>
    <t>123-410-22RA-EE-188</t>
  </si>
  <si>
    <t>SITE POWER, SIGNAL AND CONTROL DISTRIBUTION VI</t>
  </si>
  <si>
    <t>R1914-DWG-EL-00-120</t>
  </si>
  <si>
    <t>123-410-22RA-EE-229</t>
  </si>
  <si>
    <t>MANHOLE DETAIL DRAWING</t>
  </si>
  <si>
    <t>R1914-DWG-EL-00-121</t>
  </si>
  <si>
    <t>123-410-22RA-EE-230</t>
  </si>
  <si>
    <t>Control cable schedule</t>
  </si>
  <si>
    <t>R1914-DWG-IN-00-119</t>
  </si>
  <si>
    <r>
      <rPr>
        <strike/>
        <sz val="11"/>
        <rFont val="Garamond"/>
        <family val="1"/>
      </rPr>
      <t>123-410-22RA-EE-212-</t>
    </r>
    <r>
      <rPr>
        <sz val="11"/>
        <rFont val="Garamond"/>
        <family val="1"/>
      </rPr>
      <t xml:space="preserve">                        123-410-22RA-EA-010</t>
    </r>
  </si>
  <si>
    <t>SINGLE LINE DIAGRAM FOR UPS COFFERT -0001</t>
  </si>
  <si>
    <t>R1914-DWG-IN-00-120</t>
  </si>
  <si>
    <r>
      <rPr>
        <strike/>
        <sz val="11"/>
        <rFont val="Garamond"/>
        <family val="1"/>
      </rPr>
      <t>123-410-22RA-EE-213-</t>
    </r>
    <r>
      <rPr>
        <sz val="11"/>
        <rFont val="Garamond"/>
        <family val="1"/>
      </rPr>
      <t xml:space="preserve">                          123-410-22RA-EA-011</t>
    </r>
  </si>
  <si>
    <t>SINGLE LINE DIAGRAM FOR UPS COFFERT -0002</t>
  </si>
  <si>
    <t>R1914-DWG-IN-00-121</t>
  </si>
  <si>
    <r>
      <rPr>
        <strike/>
        <sz val="11"/>
        <rFont val="Garamond"/>
        <family val="1"/>
      </rPr>
      <t xml:space="preserve">123-410-22RA-EE-214- </t>
    </r>
    <r>
      <rPr>
        <sz val="11"/>
        <rFont val="Garamond"/>
        <family val="1"/>
      </rPr>
      <t xml:space="preserve">                            123-410-22RA-EA-012</t>
    </r>
  </si>
  <si>
    <t>SINGLE LINE DIAGRAM FOR UPS COFFERT -0003</t>
  </si>
  <si>
    <t>R1914-DWG-FG-00-003</t>
  </si>
  <si>
    <t>123-410-22RA-EE-100</t>
  </si>
  <si>
    <t>Fire Alarm system Riser  diagram</t>
  </si>
  <si>
    <t>R1914-DWG-FG-00-005</t>
  </si>
  <si>
    <t>123-410-22RA-EE-102</t>
  </si>
  <si>
    <t xml:space="preserve"> Fire Alarm cable routing</t>
  </si>
  <si>
    <t>R1914-DWG-FG-00-006</t>
  </si>
  <si>
    <t>123-410-22RA-EE-103</t>
  </si>
  <si>
    <r>
      <t xml:space="preserve">Fire Alarm Location </t>
    </r>
    <r>
      <rPr>
        <strike/>
        <sz val="11"/>
        <rFont val="Garamond"/>
        <family val="1"/>
      </rPr>
      <t>1</t>
    </r>
    <r>
      <rPr>
        <sz val="11"/>
        <rFont val="Garamond"/>
        <family val="1"/>
      </rPr>
      <t xml:space="preserve"> Substation and electrical room</t>
    </r>
  </si>
  <si>
    <t>R1914-DWG-FG-00-007</t>
  </si>
  <si>
    <t>123-410-22RA-EE-104</t>
  </si>
  <si>
    <r>
      <t xml:space="preserve">Fire Alarm Location </t>
    </r>
    <r>
      <rPr>
        <strike/>
        <sz val="11"/>
        <rFont val="Garamond"/>
        <family val="1"/>
      </rPr>
      <t>2</t>
    </r>
    <r>
      <rPr>
        <sz val="11"/>
        <rFont val="Garamond"/>
        <family val="1"/>
      </rPr>
      <t xml:space="preserve"> chemical building</t>
    </r>
  </si>
  <si>
    <t>R1914-SPC-CS-00-001</t>
  </si>
  <si>
    <t>123-C01R-G65-22RA-EA-018</t>
  </si>
  <si>
    <t>SCADA system specification</t>
  </si>
  <si>
    <t>R1914-RPT-IN-00-001</t>
  </si>
  <si>
    <t>123-C01R-G65-22RA-EA-017</t>
  </si>
  <si>
    <t>Control philosophy</t>
  </si>
  <si>
    <t>R1914-LIS-IN-00-004</t>
  </si>
  <si>
    <t>123-C01R-G65-22RA-EA-019</t>
  </si>
  <si>
    <t>C&amp;E diagram</t>
  </si>
  <si>
    <t>R1914-LIS-IN-00-005</t>
  </si>
  <si>
    <t>123-C01R-G65-22RA-EA-031</t>
  </si>
  <si>
    <t>INSTRUMENT CABLE AND CONDUIT SCHEDULE</t>
  </si>
  <si>
    <t>R1914-DSH-IN-00-001</t>
  </si>
  <si>
    <t>123-C01R-G65-22RA-EA-020</t>
  </si>
  <si>
    <t>Level Instruments Datasheet</t>
  </si>
  <si>
    <t>R1914-DSH-IN-00-002</t>
  </si>
  <si>
    <t>123-C01R-G65-22RA-EA-021</t>
  </si>
  <si>
    <t>Pressure Instruments Datasheet</t>
  </si>
  <si>
    <t>R1914-DSH-IN-00-003</t>
  </si>
  <si>
    <t>123-C01R-G65-22RA-EA-022</t>
  </si>
  <si>
    <t xml:space="preserve">Weight Instrument Datasheet </t>
  </si>
  <si>
    <t>R1914-DSH-IN-00-004</t>
  </si>
  <si>
    <t>123-C01R-G65-22RA-EA-023</t>
  </si>
  <si>
    <t>Flowmeters Datasheet</t>
  </si>
  <si>
    <t>R1914-DSH-IN-00-005</t>
  </si>
  <si>
    <t>123-C01R-G65-22RA-EA-024</t>
  </si>
  <si>
    <t>Analyzers Datasheet</t>
  </si>
  <si>
    <t>R1914-DSH-IN-00-006</t>
  </si>
  <si>
    <t>123-C01R-G65-22RA-EA-025</t>
  </si>
  <si>
    <r>
      <t xml:space="preserve">Instrumentation and Fire Alarm </t>
    </r>
    <r>
      <rPr>
        <strike/>
        <sz val="11"/>
        <rFont val="Garamond"/>
        <family val="1"/>
      </rPr>
      <t>Fire &amp; Gas</t>
    </r>
    <r>
      <rPr>
        <sz val="11"/>
        <rFont val="Garamond"/>
        <family val="1"/>
      </rPr>
      <t xml:space="preserve"> cables data sheet"</t>
    </r>
  </si>
  <si>
    <t>R1914-DSH-IN-00-007</t>
  </si>
  <si>
    <t>123-C01R-G65-22RA-EA-026</t>
  </si>
  <si>
    <t>Technical Data sheet for junction box</t>
  </si>
  <si>
    <t>R1914-DSH-IN-00-008</t>
  </si>
  <si>
    <t>123-C01R-G65-22RA-EA-029</t>
  </si>
  <si>
    <t xml:space="preserve"> Motorized  valve  Data sheet</t>
  </si>
  <si>
    <t>R1914-LIS-CS-00-001</t>
  </si>
  <si>
    <t>123-C01R-G65-22RA-EA-028</t>
  </si>
  <si>
    <t>Input/Output List For Control System</t>
  </si>
  <si>
    <t>R1914-LIS-IN-00-001</t>
  </si>
  <si>
    <t>123-C01R-G65-22RA-EA-027</t>
  </si>
  <si>
    <t>Instrument index</t>
  </si>
  <si>
    <t>R1914-DWG-CS-00-001</t>
  </si>
  <si>
    <t>123-410-22RA-EE-037</t>
  </si>
  <si>
    <t>IWTP SCADA  system architecture diagram</t>
  </si>
  <si>
    <t>R1914-DWG-CS-00-002</t>
  </si>
  <si>
    <t>123-410-22RA-EE-038</t>
  </si>
  <si>
    <t>office building Control Room Arrangement Layout</t>
  </si>
  <si>
    <t>R1914-DWG-CS-00-003</t>
  </si>
  <si>
    <t>123-410-22RA-EE-039</t>
  </si>
  <si>
    <t>Process Electrical Building  PLC Room  Arrangement Layout</t>
  </si>
  <si>
    <t>R1914-DWG-CS-00-004</t>
  </si>
  <si>
    <t>123-410-22RA-EE-040</t>
  </si>
  <si>
    <t xml:space="preserve">SWTP &amp;IWTP SCADA NETWORK </t>
  </si>
  <si>
    <t>R1914-DWG-CS-00-006</t>
  </si>
  <si>
    <t>123-410-22RA-EE-064</t>
  </si>
  <si>
    <t>Substation Building PLC Room Arrangement Layout</t>
  </si>
  <si>
    <t>R1914-DWG-IN-00-001</t>
  </si>
  <si>
    <t>123-410-22RA-EE-042</t>
  </si>
  <si>
    <t>Instrument cable routing</t>
  </si>
  <si>
    <t>R1914-DWG-IN-00-002</t>
  </si>
  <si>
    <t>123-410-22RA-EE-043</t>
  </si>
  <si>
    <r>
      <t xml:space="preserve">Instrument block diagram  PLC-0001 </t>
    </r>
    <r>
      <rPr>
        <strike/>
        <sz val="11"/>
        <rFont val="Garamond"/>
        <family val="1"/>
      </rPr>
      <t>&amp; UPS COFFRET -0003</t>
    </r>
    <r>
      <rPr>
        <sz val="11"/>
        <rFont val="Garamond"/>
        <family val="1"/>
      </rPr>
      <t xml:space="preserve"> I</t>
    </r>
  </si>
  <si>
    <t>R1914-DWG-IN-00-030</t>
  </si>
  <si>
    <t>123-410-22RA-EE-083</t>
  </si>
  <si>
    <r>
      <t xml:space="preserve">Instrument block diagram PLC-0001 </t>
    </r>
    <r>
      <rPr>
        <strike/>
        <sz val="11"/>
        <rFont val="Garamond"/>
        <family val="1"/>
      </rPr>
      <t xml:space="preserve">&amp; UPS COFFRET -0003 </t>
    </r>
    <r>
      <rPr>
        <sz val="11"/>
        <rFont val="Garamond"/>
        <family val="1"/>
      </rPr>
      <t>II</t>
    </r>
  </si>
  <si>
    <t>R1914-DWG-IN-00-031</t>
  </si>
  <si>
    <t>123-410-22RA-EE-084</t>
  </si>
  <si>
    <r>
      <t xml:space="preserve">Instrument block diagram PLC-0001 </t>
    </r>
    <r>
      <rPr>
        <strike/>
        <sz val="11"/>
        <rFont val="Garamond"/>
        <family val="1"/>
      </rPr>
      <t>&amp; UPS COFFRET -0003</t>
    </r>
    <r>
      <rPr>
        <sz val="11"/>
        <rFont val="Garamond"/>
        <family val="1"/>
      </rPr>
      <t xml:space="preserve"> III</t>
    </r>
  </si>
  <si>
    <t>R1914-DWG-IN-00-034</t>
  </si>
  <si>
    <t>123-410-22RA-EE-087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</si>
  <si>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 I</t>
    </r>
  </si>
  <si>
    <t>R1914-DWG-IN-00-035</t>
  </si>
  <si>
    <t>123-410-22RA-EE-088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</si>
  <si>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II</t>
    </r>
  </si>
  <si>
    <t>R1914-DWG-IN-00-036</t>
  </si>
  <si>
    <t>123-410-22RA-EE-089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</si>
  <si>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III</t>
    </r>
  </si>
  <si>
    <t>R1914-DWG-IN-00-037</t>
  </si>
  <si>
    <t>123-410-22RA-EE-090</t>
  </si>
  <si>
    <r>
      <t>Instrument block diagram PLC-0002</t>
    </r>
    <r>
      <rPr>
        <strike/>
        <sz val="11"/>
        <rFont val="Garamond"/>
        <family val="1"/>
      </rPr>
      <t xml:space="preserve"> &amp; UPS COFFRET -0002 </t>
    </r>
    <r>
      <rPr>
        <sz val="11"/>
        <rFont val="Garamond"/>
        <family val="1"/>
      </rPr>
      <t>IV</t>
    </r>
  </si>
  <si>
    <t>R1914-DWG-IN-00-038</t>
  </si>
  <si>
    <t>123-410-22RA-EE-091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</si>
  <si>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</t>
    </r>
  </si>
  <si>
    <t>R1914-DWG-IN-00-039</t>
  </si>
  <si>
    <t>123-410-22RA-EE-092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</si>
  <si>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VI</t>
    </r>
  </si>
  <si>
    <t>R1914-DWG-IN-00-040</t>
  </si>
  <si>
    <t>123-410-22RA-EE-093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</si>
  <si>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VII</t>
    </r>
  </si>
  <si>
    <t>R1914-DWG-IN-00-041</t>
  </si>
  <si>
    <t>123-410-22RA-EE-094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</si>
  <si>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 VIII</t>
    </r>
  </si>
  <si>
    <t>R1914-DWG-IN-00-042</t>
  </si>
  <si>
    <t>123-410-22RA-EE-095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</si>
  <si>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IX</t>
    </r>
  </si>
  <si>
    <t>R1914-DWG-IN-00-043</t>
  </si>
  <si>
    <t>123-410-22RA-EE-096</t>
  </si>
  <si>
    <r>
      <t xml:space="preserve">Instrument block diagram PLC-0002 </t>
    </r>
    <r>
      <rPr>
        <strike/>
        <sz val="11"/>
        <rFont val="Garamond"/>
        <family val="1"/>
      </rPr>
      <t xml:space="preserve">&amp; UPS COFFRET -0002 </t>
    </r>
    <r>
      <rPr>
        <sz val="11"/>
        <rFont val="Garamond"/>
        <family val="1"/>
      </rPr>
      <t>X</t>
    </r>
  </si>
  <si>
    <t>R1914-DWG-IN-00-047</t>
  </si>
  <si>
    <t>123-410-22RA-EE-105</t>
  </si>
  <si>
    <r>
      <t xml:space="preserve">Instrument block diagram PLC-0003 </t>
    </r>
    <r>
      <rPr>
        <strike/>
        <sz val="11"/>
        <rFont val="Garamond"/>
        <family val="1"/>
      </rPr>
      <t>&amp; UPS COFFRET -0001</t>
    </r>
    <r>
      <rPr>
        <sz val="11"/>
        <rFont val="Garamond"/>
        <family val="1"/>
      </rPr>
      <t xml:space="preserve"> I</t>
    </r>
  </si>
  <si>
    <t>R1914-DWG-IN-00-048</t>
  </si>
  <si>
    <t>123-410-22RA-EE-106</t>
  </si>
  <si>
    <r>
      <t xml:space="preserve">Instrument block diagram PLC-0003 </t>
    </r>
    <r>
      <rPr>
        <strike/>
        <sz val="11"/>
        <rFont val="Garamond"/>
        <family val="1"/>
      </rPr>
      <t>&amp; UPS COFFRET -0001</t>
    </r>
    <r>
      <rPr>
        <sz val="11"/>
        <rFont val="Garamond"/>
        <family val="1"/>
      </rPr>
      <t xml:space="preserve"> II</t>
    </r>
  </si>
  <si>
    <t>R1914-DWG-IN-00-004</t>
  </si>
  <si>
    <t>123-410-22RA-EE-045</t>
  </si>
  <si>
    <t>INSTRUMENT INTERCONNECTION DIAGRAM   PLC-0001 &amp; UPS COFFRET -0003 -I</t>
  </si>
  <si>
    <t>R1914-DWG-IN-00-050</t>
  </si>
  <si>
    <t>123-410-22RA-EE-108</t>
  </si>
  <si>
    <t>INSTRUMENT INTERCONNECTION DIAGRAM PLC-0001 &amp; UPS COFFRET -0003- II</t>
  </si>
  <si>
    <t>R1914-DWG-IN-00-051</t>
  </si>
  <si>
    <t>123-410-22RA-EE-109</t>
  </si>
  <si>
    <t>INSTRUMENT INTERCONNECTION DIAGRAM PLC-0001 &amp; UPS COFFRET -0003- III</t>
  </si>
  <si>
    <t>R1914-DWG-IN-00-052</t>
  </si>
  <si>
    <t>123-410-22RA-EE-110</t>
  </si>
  <si>
    <t>INSTRUMENT INTERCONNECTION DIAGRAM PLC-0001 &amp; UPS COFFRET -0003- IV</t>
  </si>
  <si>
    <t>R1914-DWG-IN-00-053</t>
  </si>
  <si>
    <t>123-410-22RA-EE-111</t>
  </si>
  <si>
    <t>INSTRUMENT INTERCONNECTION DIAGRAM PLC-0001 &amp; UPS COFFRET -0003- V</t>
  </si>
  <si>
    <t>R1914-DWG-IN-00-054</t>
  </si>
  <si>
    <t>123-410-22RA-EE-112</t>
  </si>
  <si>
    <t>INSTRUMENT INTERCONNECTION DIAGRAM PLC-0001 &amp; UPS COFFRET -0003- VI</t>
  </si>
  <si>
    <t>R1914-DWG-IN-00-055</t>
  </si>
  <si>
    <t>123-410-22RA-EE-113</t>
  </si>
  <si>
    <t>INSTRUMENT INTERCONNECTION DIAGRAM PLC-0001 &amp; UPS COFFRET -0003-VII</t>
  </si>
  <si>
    <t>R1914-DWG-IN-00-056</t>
  </si>
  <si>
    <t>123-410-22RA-EE-114</t>
  </si>
  <si>
    <t>INSTRUMENT INTERCONNECTION DIAGRAM PLC-0001 &amp; UPS COFFRET -0003-VIII</t>
  </si>
  <si>
    <t>R1914-DWG-IN-00-088</t>
  </si>
  <si>
    <t>123-410-22RA-EE-146</t>
  </si>
  <si>
    <t>INSTRUMENT INTERCONNECTION DIAGRAM PLC-0001 &amp; UPS COFFRET -0003-IX</t>
  </si>
  <si>
    <t>R1914-DWG-IN-00-057</t>
  </si>
  <si>
    <t>123-410-22RA-EE-115</t>
  </si>
  <si>
    <t>INSTRUMENT INTERCONNECTION DIAGRAM PLC-0002 &amp; UPS COFFRET -0002-I</t>
  </si>
  <si>
    <t>R1914-DWG-IN-00-058</t>
  </si>
  <si>
    <t>123-410-22RA-EE-116</t>
  </si>
  <si>
    <t>INSTRUMENT INTERCONNECTION DIAGRAM PLC-0002 &amp; UPS COFFRET -0002-II</t>
  </si>
  <si>
    <t>R1914-DWG-IN-00-059</t>
  </si>
  <si>
    <t>123-410-22RA-EE-117</t>
  </si>
  <si>
    <t>INSTRUMENT INTERCONNECTION DIAGRAM PLC-0002 &amp; UPS COFFRET -0002-III</t>
  </si>
  <si>
    <t>R1914-DWG-IN-00-060</t>
  </si>
  <si>
    <t>123-410-22RA-EE-118</t>
  </si>
  <si>
    <t>INSTRUMENT INTERCONNECTION DIAGRAM PLC-0002 &amp; UPS COFFRET -0002-IV</t>
  </si>
  <si>
    <t>R1914-DWG-IN-00-061</t>
  </si>
  <si>
    <t>123-410-22RA-EE-119</t>
  </si>
  <si>
    <t>INSTRUMENT INTERCONNECTION DIAGRAM PLC-0002 &amp; UPS COFFRET -0002-V</t>
  </si>
  <si>
    <t>R1914-DWG-IN-00-062</t>
  </si>
  <si>
    <t>123-410-22RA-EE-120</t>
  </si>
  <si>
    <t>INSTRUMENT INTERCONNECTION DIAGRAM PLC-0002 &amp; UPS COFFRET -0002-VI</t>
  </si>
  <si>
    <t>R1914-DWG-IN-00-063</t>
  </si>
  <si>
    <t>123-410-22RA-EE-121</t>
  </si>
  <si>
    <t>INSTRUMENT INTERCONNECTION DIAGRAM PLC-0002 &amp; UPS COFFRET -0002-VII</t>
  </si>
  <si>
    <t>R1914-DWG-IN-00-064</t>
  </si>
  <si>
    <t>123-410-22RA-EE-122</t>
  </si>
  <si>
    <t>INSTRUMENT INTERCONNECTION DIAGRAM PLC-0002 &amp; UPS COFFRET -0002-VIII</t>
  </si>
  <si>
    <t>R1914-DWG-IN-00-065</t>
  </si>
  <si>
    <t>123-410-22RA-EE-123</t>
  </si>
  <si>
    <t>INSTRUMENT INTERCONNECTION DIAGRAM PLC-0002 &amp; UPS COFFRET -0002- IX</t>
  </si>
  <si>
    <t>R1914-DWG-IN-00-066</t>
  </si>
  <si>
    <t>123-410-22RA-EE-124</t>
  </si>
  <si>
    <t>INSTRUMENT INTERCONNECTION DIAGRAM PLC-0002 &amp; UPS COFFRET -0002-X</t>
  </si>
  <si>
    <t>R1914-DWG-IN-00-067</t>
  </si>
  <si>
    <t>123-410-22RA-EE-125</t>
  </si>
  <si>
    <t>INSTRUMENT INTERCONNECTION DIAGRAM PLC-0002 &amp; UPS COFFRET -0002-XI</t>
  </si>
  <si>
    <t>R1914-DWG-IN-00-068</t>
  </si>
  <si>
    <t>123-410-22RA-EE-126</t>
  </si>
  <si>
    <t>INSTRUMENT INTERCONNECTION DIAGRAM PLC-0002 &amp; UPS COFFRET -0002-XII</t>
  </si>
  <si>
    <t>R1914-DWG-IN-00-069</t>
  </si>
  <si>
    <t>123-410-22RA-EE-127</t>
  </si>
  <si>
    <t>INSTRUMENT INTERCONNECTION DIAGRAM PLC-0002 &amp; UPS COFFRET -0002-XIII</t>
  </si>
  <si>
    <t>R1914-DWG-IN-00-070</t>
  </si>
  <si>
    <t>123-410-22RA-EE-128</t>
  </si>
  <si>
    <t>INSTRUMENT INTERCONNECTION DIAGRAM PLC-0002 &amp; UPS COFFRET -0002-XIV</t>
  </si>
  <si>
    <t>R1914-DWG-IN-00-071</t>
  </si>
  <si>
    <t>123-410-22RA-EE-129</t>
  </si>
  <si>
    <t>INSTRUMENT INTERCONNECTION DIAGRAM PLC-0002 &amp; UPS COFFRET -0002-XV</t>
  </si>
  <si>
    <t>R1914-DWG-IN-00-072</t>
  </si>
  <si>
    <t>123-410-22RA-EE-130</t>
  </si>
  <si>
    <t>INSTRUMENT INTERCONNECTION DIAGRAM PLC-0002 &amp; UPS COFFRET -0002-XVI</t>
  </si>
  <si>
    <t>R1914-DWG-IN-00-073</t>
  </si>
  <si>
    <t>123-410-22RA-EE-131</t>
  </si>
  <si>
    <t>INSTRUMENT INTERCONNECTION DIAGRAM PLC-0002 &amp; UPS COFFRET -0002-XVII</t>
  </si>
  <si>
    <t>R1914-DWG-IN-00-074</t>
  </si>
  <si>
    <t>123-410-22RA-EE-132</t>
  </si>
  <si>
    <t>INSTRUMENT INTERCONNECTION DIAGRAM PLC-0002 &amp; UPS COFFRET -0002-XVIII</t>
  </si>
  <si>
    <t>R1914-DWG-IN-00-075</t>
  </si>
  <si>
    <t>123-410-22RA-EE-133</t>
  </si>
  <si>
    <t>INSTRUMENT INTERCONNECTION DIAGRAM PLC-0002 &amp; UPS COFFRET -0002-XIX</t>
  </si>
  <si>
    <t>R1914-DWG-IN-00-076</t>
  </si>
  <si>
    <t>123-410-22RA-EE-134</t>
  </si>
  <si>
    <t>INSTRUMENT INTERCONNECTION DIAGRAM PLC-0002 &amp; UPS COFFRET -0002-XX</t>
  </si>
  <si>
    <t>R1914-DWG-IN-00-077</t>
  </si>
  <si>
    <t>123-410-22RA-EE-135</t>
  </si>
  <si>
    <t>INSTRUMENT INTERCONNECTION DIAGRAM PLC-0002 &amp; UPS COFFRET -0002-XXI</t>
  </si>
  <si>
    <t>R1914-DWG-IN-00-078</t>
  </si>
  <si>
    <t>123-410-22RA-EE-136</t>
  </si>
  <si>
    <t>INSTRUMENT INTERCONNECTION DIAGRAM PLC-0002 &amp; UPS COFFRET -0002-XXII</t>
  </si>
  <si>
    <t>R1914-DWG-IN-00-079</t>
  </si>
  <si>
    <t>123-410-22RA-EE-137</t>
  </si>
  <si>
    <t>INSTRUMENT INTERCONNECTION DIAGRAM PLC-0002 &amp; UPS COFFRET -0002-XXIII</t>
  </si>
  <si>
    <t>R1914-DWG-IN-00-080</t>
  </si>
  <si>
    <t>123-410-22RA-EE-138</t>
  </si>
  <si>
    <t>INSTRUMENT INTERCONNECTION DIAGRAM PLC-0002 &amp; UPS COFFRET -0002-XXIV</t>
  </si>
  <si>
    <t>R1914-DWG-IN-00-081</t>
  </si>
  <si>
    <t>123-410-22RA-EE-139</t>
  </si>
  <si>
    <t>INSTRUMENT INTERCONNECTION DIAGRAM PLC-0002 &amp; UPS COFFRET -0002-XXV</t>
  </si>
  <si>
    <t>R1914-DWG-IN-00-082</t>
  </si>
  <si>
    <t>123-410-22RA-EE-140</t>
  </si>
  <si>
    <t>INSTRUMENT INTERCONNECTION DIAGRAM PLC-0003 &amp; UPS COFFRET -0001-I</t>
  </si>
  <si>
    <t>R1914-DWG-IN-00-083</t>
  </si>
  <si>
    <t>123-410-22RA-EE-141</t>
  </si>
  <si>
    <t>INSTRUMENT INTERCONNECTION DIAGRAM PLC-0003 &amp; UPS COFFRET -0001-II</t>
  </si>
  <si>
    <t>R1914-DWG-IN-00-084</t>
  </si>
  <si>
    <t>123-410-22RA-EE-142</t>
  </si>
  <si>
    <t>INSTRUMENT INTERCONNECTION DIAGRAM PLC-0003 &amp; UPS COFFRET -0001-III</t>
  </si>
  <si>
    <t>R1914-DWG-IN-00-085</t>
  </si>
  <si>
    <t>123-410-22RA-EE-143</t>
  </si>
  <si>
    <t>INSTRUMENT INTERCONNECTION DIAGRAM PLC-0003 &amp; UPS COFFRET -0001-IV</t>
  </si>
  <si>
    <t>R1914-DWG-IN-00-086</t>
  </si>
  <si>
    <t>123-410-22RA-EE-144</t>
  </si>
  <si>
    <t>INSTRUMENT INTERCONNECTION DIAGRAM PLC-0003 &amp; UPS COFFRET -0001-V</t>
  </si>
  <si>
    <t>R1914-DWG-IN-00-087</t>
  </si>
  <si>
    <t>123-410-22RA-EE-145</t>
  </si>
  <si>
    <t>INSTRUMENT INTERCONNECTION DIAGRAM PLC-0003 &amp; UPS COFFRET -0001-VI</t>
  </si>
  <si>
    <t>R1914-DWG-IN-00-091</t>
  </si>
  <si>
    <t>123-410-22RA-EE-149</t>
  </si>
  <si>
    <t>INSTRUMENT LOOP DIAGRAM PLC-0001-I</t>
  </si>
  <si>
    <t>R1914-DWG-IN-00-092</t>
  </si>
  <si>
    <t>123-410-22RA-EE-150</t>
  </si>
  <si>
    <t>INSTRUMENT LOOP DIAGRAM PLC-0001-II</t>
  </si>
  <si>
    <t>R1914-DWG-IN-00-093</t>
  </si>
  <si>
    <t>123-410-22RA-EE-151</t>
  </si>
  <si>
    <t>INSTRUMENT LOOP DIAGRAM PLC-0001-III</t>
  </si>
  <si>
    <t>R1914-DWG-IN-00-094</t>
  </si>
  <si>
    <t>123-410-22RA-EE-152</t>
  </si>
  <si>
    <t>INSTRUMENT LOOP DIAGRAM PLC-0001-IV</t>
  </si>
  <si>
    <t>R1914-DWG-IN-00-095</t>
  </si>
  <si>
    <t>123-410-22RA-EE-153</t>
  </si>
  <si>
    <t>INSTRUMENT LOOP DIAGRAM PLC-0001-V</t>
  </si>
  <si>
    <t>R1914-DWG-IN-00-096</t>
  </si>
  <si>
    <t>123-410-22RA-EE-154</t>
  </si>
  <si>
    <t>INSTRUMENT LOOP DIAGRAM PLC-0001-VI</t>
  </si>
  <si>
    <t>R1914-DWG-IN-00-097</t>
  </si>
  <si>
    <t>123-410-22RA-EE-155</t>
  </si>
  <si>
    <t>INSTRUMENT LOOP DIAGRAM PLC-0001-VII</t>
  </si>
  <si>
    <t>R1914-DWG-IN-00-098</t>
  </si>
  <si>
    <t>123-410-22RA-EE-156</t>
  </si>
  <si>
    <t>INSTRUMENT LOOP DIAGRAM PLC-0003-I</t>
  </si>
  <si>
    <t>R1914-DWG-IN-00-099</t>
  </si>
  <si>
    <t>123-410-22RA-EE-157</t>
  </si>
  <si>
    <t>INSTRUMENT LOOP DIAGRAM PLC-0003-II</t>
  </si>
  <si>
    <t>R1914-DWG-IN-00-100</t>
  </si>
  <si>
    <t>123-410-22RA-EE-158</t>
  </si>
  <si>
    <t>INSTRUMENT LOOP DIAGRAM PLC-0003-III</t>
  </si>
  <si>
    <t>R1914-DWG-IN-00-101</t>
  </si>
  <si>
    <t>123-410-22RA-EE-159</t>
  </si>
  <si>
    <t>INSTRUMENT LOOP DIAGRAM PLC-0003-IV</t>
  </si>
  <si>
    <t>R1914-DWG-IN-00-102</t>
  </si>
  <si>
    <t>123-410-22RA-EE-160</t>
  </si>
  <si>
    <t>INSTRUMENT LOOP DIAGRAM PLC-0003-V</t>
  </si>
  <si>
    <t>R1914-DWG-IN-00-089</t>
  </si>
  <si>
    <t>123-410-22RA-EE-147</t>
  </si>
  <si>
    <t>INSTRUMENT LOOP DIAGRAM PLC-0002-I</t>
  </si>
  <si>
    <t>R1914-DWG-IN-00-090</t>
  </si>
  <si>
    <t>123-410-22RA-EE-148</t>
  </si>
  <si>
    <t>INSTRUMENT LOOP DIAGRAM PLC-0002-II</t>
  </si>
  <si>
    <t>R1914-DWG-IN-00-103</t>
  </si>
  <si>
    <t>123-410-22RA-EE-161</t>
  </si>
  <si>
    <t>INSTRUMENT LOOP DIAGRAM PLC-0002-III</t>
  </si>
  <si>
    <t>R1914-DWG-IN-00-104</t>
  </si>
  <si>
    <t>123-410-22RA-EE-162</t>
  </si>
  <si>
    <t>INSTRUMENT LOOP DIAGRAM PLC-0002-IV</t>
  </si>
  <si>
    <t>R1914-DWG-IN-00-105</t>
  </si>
  <si>
    <t>123-410-22RA-EE-163</t>
  </si>
  <si>
    <t>INSTRUMENT LOOP DIAGRAM PLC-0002-V</t>
  </si>
  <si>
    <t>R1914-DWG-IN-00-106</t>
  </si>
  <si>
    <t>123-410-22RA-EE-164</t>
  </si>
  <si>
    <t>INSTRUMENT LOOP DIAGRAM PLC-0002-VI</t>
  </si>
  <si>
    <t>R1914-DWG-IN-00-107</t>
  </si>
  <si>
    <t>123-410-22RA-EE-165</t>
  </si>
  <si>
    <t>INSTRUMENT LOOP DIAGRAM PLC-0002-VII</t>
  </si>
  <si>
    <t>R1914-DWG-IN-00-108</t>
  </si>
  <si>
    <t>123-410-22RA-EE-166</t>
  </si>
  <si>
    <t>INSTRUMENT LOOP DIAGRAM PLC-0002-VIII</t>
  </si>
  <si>
    <t>R1914-DWG-IN-00-109</t>
  </si>
  <si>
    <t>123-410-22RA-EE-167</t>
  </si>
  <si>
    <t>INSTRUMENT LOOP DIAGRAM PLC-0002-IX</t>
  </si>
  <si>
    <t>R1914-DWG-IN-00-110</t>
  </si>
  <si>
    <t>123-410-22RA-EE-168</t>
  </si>
  <si>
    <t>INSTRUMENT LOOP DIAGRAM PLC-0002-X</t>
  </si>
  <si>
    <t>R1914-DWG-IN-00-111</t>
  </si>
  <si>
    <t>123-410-22RA-EE-169</t>
  </si>
  <si>
    <t>INSTRUMENT LOOP DIAGRAM PLC-0002-XI</t>
  </si>
  <si>
    <t>R1914-DWG-IN-00-112</t>
  </si>
  <si>
    <t>123-410-22RA-EE-170</t>
  </si>
  <si>
    <t>INSTRUMENT LOOP DIAGRAM PLC-0002-XII</t>
  </si>
  <si>
    <t>R1914-DWG-IN-00-113</t>
  </si>
  <si>
    <t>123-410-22RA-EE-171</t>
  </si>
  <si>
    <t>INSTRUMENT LOOP DIAGRAM PLC-0002-XIII</t>
  </si>
  <si>
    <t>R1914-DWG-IN-00-114</t>
  </si>
  <si>
    <t>123-410-22RA-EE-172</t>
  </si>
  <si>
    <t>INSTRUMENT LOOP DIAGRAM PLC-0002-XIV</t>
  </si>
  <si>
    <t>R1914-DWG-IN-00-115</t>
  </si>
  <si>
    <t>123-410-22RA-EE-173</t>
  </si>
  <si>
    <t>INSTRUMENT LOOP DIAGRAM PLC-0002-XV</t>
  </si>
  <si>
    <t>R1914-DWG-IN-00-116</t>
  </si>
  <si>
    <t>123-410-22RA-EE-174</t>
  </si>
  <si>
    <t>INSTRUMENT LOOP DIAGRAM PLC-0002-XVI</t>
  </si>
  <si>
    <t>R1914-DWG-IN-00-117</t>
  </si>
  <si>
    <t>123-410-22RA-EE-175</t>
  </si>
  <si>
    <t>INSTRUMENT LOOP DIAGRAM PLC-0002-XVII</t>
  </si>
  <si>
    <t>R1914-DWG-IN-00-118</t>
  </si>
  <si>
    <t>123-410-22RA-EE-176</t>
  </si>
  <si>
    <t>INSTRUMENT LOOP DIAGRAM PLC-0002-XVIII</t>
  </si>
  <si>
    <t>R1914-DWG-IN-00-122</t>
  </si>
  <si>
    <t>123-410-22RA-EE-215</t>
  </si>
  <si>
    <t>INSTRUMENT LOOP DIAGRAM REFERENCE DRAWINGS</t>
  </si>
  <si>
    <t>R1914-DWG-IN-00-005</t>
  </si>
  <si>
    <t>123-410-22RA-EE-046</t>
  </si>
  <si>
    <t>Level Instruments mounting and installation details  I</t>
  </si>
  <si>
    <t>R1914-DWG-IN-00-015</t>
  </si>
  <si>
    <t>123-410-22RA-EE-065</t>
  </si>
  <si>
    <t>Level Instruments mounting and installation details  II</t>
  </si>
  <si>
    <t>R1914-DWG-IN-00-016</t>
  </si>
  <si>
    <t>123-410-22RA-EE-066</t>
  </si>
  <si>
    <t>Level Instruments mounting and installation details   III</t>
  </si>
  <si>
    <t>R1914-DWG-IN-00-017</t>
  </si>
  <si>
    <t>123-410-22RA-EE-067</t>
  </si>
  <si>
    <t>Level Instruments mounting and installation details  IV</t>
  </si>
  <si>
    <t>R1914-DWG-IN-00-006</t>
  </si>
  <si>
    <t>123-410-22RA-EE-047</t>
  </si>
  <si>
    <t xml:space="preserve">Pressure Instruments mounting and installation details </t>
  </si>
  <si>
    <t>R1914-DWG-IN-00-008</t>
  </si>
  <si>
    <t>123-410-22RA-EE-049</t>
  </si>
  <si>
    <t xml:space="preserve">Flowmeters mounting and installation details </t>
  </si>
  <si>
    <t>R1914-DWG-IN-00-009</t>
  </si>
  <si>
    <t>123-410-22RA-EE-050</t>
  </si>
  <si>
    <t xml:space="preserve">Analyzers mounting and installation details </t>
  </si>
  <si>
    <t>R1914-DWG-IN-00-010</t>
  </si>
  <si>
    <t>123-410-22RA-EE-051</t>
  </si>
  <si>
    <t>Junction Box mounting and installation details</t>
  </si>
  <si>
    <t>R1914-DWG-IN-00-012</t>
  </si>
  <si>
    <t>123-410-22RA-EE-053</t>
  </si>
  <si>
    <t>JUNCTION BOX WIRING DIAGRAM  I</t>
  </si>
  <si>
    <t>R1914-DWG-IN-00-018</t>
  </si>
  <si>
    <t>123-410-22RA-EE-071</t>
  </si>
  <si>
    <t xml:space="preserve"> JUNCTION BOX WIRING DIAGRAM  II</t>
  </si>
  <si>
    <t>R1914-DWG-IN-00-019</t>
  </si>
  <si>
    <t>123-410-22RA-EE-072</t>
  </si>
  <si>
    <t xml:space="preserve"> JUNCTION BOX WIRING DIAGRAM  III</t>
  </si>
  <si>
    <t>R1914-DWG-IN-00-020</t>
  </si>
  <si>
    <t>123-410-22RA-EE-073</t>
  </si>
  <si>
    <t xml:space="preserve"> JUNCTION BOX WIRING DIAGRAM  IV</t>
  </si>
  <si>
    <t>R1914-DWG-IN-00-021</t>
  </si>
  <si>
    <t>123-410-22RA-EE-074</t>
  </si>
  <si>
    <t xml:space="preserve"> JUNCTION BOX WIRING DIAGRAM  V</t>
  </si>
  <si>
    <t>R1914-DWG-IN-00-022</t>
  </si>
  <si>
    <t>123-410-22RA-EE-075</t>
  </si>
  <si>
    <t xml:space="preserve"> JUNCTION BOX WIRING DIAGRAM  VI</t>
  </si>
  <si>
    <t>R1914-DWG-IN-00-023</t>
  </si>
  <si>
    <t>123-410-22RA-EE-076</t>
  </si>
  <si>
    <t xml:space="preserve"> JUNCTION BOX WIRING DIAGRAM  VII</t>
  </si>
  <si>
    <t>R1914-DWG-IN-00-024</t>
  </si>
  <si>
    <t>123-410-22RA-EE-077</t>
  </si>
  <si>
    <t xml:space="preserve"> JUNCTION BOX WIRING DIAGRAM  VIII</t>
  </si>
  <si>
    <t>R1914-DWG-IN-00-025</t>
  </si>
  <si>
    <t>123-410-22RA-EE-078</t>
  </si>
  <si>
    <t xml:space="preserve"> JUNCTION BOX WIRING DIAGRAM IX</t>
  </si>
  <si>
    <t>R1914-DWG-IN-00-026</t>
  </si>
  <si>
    <t>123-410-22RA-EE-079</t>
  </si>
  <si>
    <t xml:space="preserve"> JUNCTION BOX WIRING DIAGRAM X</t>
  </si>
  <si>
    <t>R1914-DWG-IN-00-027</t>
  </si>
  <si>
    <t>123-410-22RA-EE-080</t>
  </si>
  <si>
    <t xml:space="preserve"> JUNCTION BOX WIRING DIAGRAM  XI</t>
  </si>
  <si>
    <t>R1914-DWG-IN-00-028</t>
  </si>
  <si>
    <t>123-410-22RA-EE-081</t>
  </si>
  <si>
    <t xml:space="preserve"> JUNCTION BOX WIRING DIAGRAM XII</t>
  </si>
  <si>
    <t>R1914-DWG-IN-00-029</t>
  </si>
  <si>
    <t>123-410-22RA-EE-082</t>
  </si>
  <si>
    <t xml:space="preserve"> JUNCTION BOX WIRING DIAGRAM XIII</t>
  </si>
  <si>
    <t>R1914-DWG-IN-00-126</t>
  </si>
  <si>
    <t>123-410-22RA-EE-219</t>
  </si>
  <si>
    <t xml:space="preserve">VALVE CHAMBRE VC-11 &amp; SANITARY  WATER PUMPING STATION SECONDARY CABLE ROUTING
</t>
  </si>
  <si>
    <t>R1914-DWG-IN-00-127</t>
  </si>
  <si>
    <t>123-410-22RA-EE-222</t>
  </si>
  <si>
    <t>SERVICE WATER SKID SK-1600 &amp; POTABLE  WATER SKID SK-1700 SECONDARY CABLE ROUTING</t>
  </si>
  <si>
    <t>R1914-DWG-IN-00-123</t>
  </si>
  <si>
    <t>123-410-22RA-EE-216</t>
  </si>
  <si>
    <t>TYPICAL DRAWINGS DETAIL FOR GROUNDING INSTRUMENTS CONNECTION I</t>
  </si>
  <si>
    <t>R1914-DWG-IN-00-124</t>
  </si>
  <si>
    <t>123-410-22RA-EE-217</t>
  </si>
  <si>
    <t>TYPICAL DRAWINGS DETAIL FOR GROUNDING INSTRUMENTS CONNECTION II</t>
  </si>
  <si>
    <t>R1914-DWG-IN-00-125</t>
  </si>
  <si>
    <t>123-410-22RA-EE-218</t>
  </si>
  <si>
    <t>TYPICAL DRAWINGS DETAIL FOR GROUNDING INSTRUMENTS CONNECTION III</t>
  </si>
  <si>
    <t>R1914-DWG-IN-00-014</t>
  </si>
  <si>
    <t>123-410-22RA-EE-055</t>
  </si>
  <si>
    <t>Chemical Building Control Room Arrangement Layout</t>
  </si>
  <si>
    <t>TOTAL (h)</t>
  </si>
  <si>
    <t>Ingénieurs</t>
  </si>
  <si>
    <t>projeteurs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</si>
</sst>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Garamond"/>
      <family val="1"/>
    </font>
    <font>
      <b/>
      <sz val="11"/>
      <name val="Garamond"/>
      <family val="1"/>
    </font>
    <font>
      <sz val="8"/>
      <name val="Arial"/>
      <family val="2"/>
    </font>
    <font>
      <strike/>
      <sz val="11"/>
      <name val="Garamond"/>
      <family val="1"/>
    </font>
    <font>
      <b/>
      <strike/>
      <sz val="11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37">
    <xf numFmtId="0" fontId="0" fillId="0" borderId="0" xfId="0"/>
    <xf numFmtId="0" fontId="1" fillId="2" borderId="1" xfId="0" applyFont="1" applyFill="1" applyBorder="1"/>
    <xf numFmtId="0" fontId="3" fillId="2" borderId="1" xfId="1" applyFont="1" applyFill="1" applyBorder="1" applyAlignment="1" applyProtection="1">
      <alignment vertical="center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vertical="center" wrapText="1"/>
      <protection locked="0"/>
    </xf>
    <xf numFmtId="1" fontId="4" fillId="2" borderId="1" xfId="1" applyNumberFormat="1" applyFont="1" applyFill="1" applyBorder="1" applyAlignment="1" applyProtection="1">
      <alignment horizontal="center" vertical="center"/>
      <protection locked="0"/>
    </xf>
    <xf numFmtId="0" fontId="3" fillId="2" borderId="1" xfId="2" applyNumberFormat="1" applyFont="1" applyFill="1" applyBorder="1" applyAlignment="1" applyProtection="1">
      <alignment horizontal="center" vertical="center" wrapText="1"/>
      <protection locked="0"/>
    </xf>
    <xf numFmtId="1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3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left" vertical="center"/>
      <protection locked="0"/>
    </xf>
    <xf numFmtId="0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1" applyNumberFormat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>
      <alignment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1" fontId="4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1" applyFont="1" applyFill="1" applyBorder="1" applyAlignment="1" applyProtection="1">
      <alignment horizontal="left" vertical="center"/>
      <protection locked="0"/>
    </xf>
    <xf numFmtId="0" fontId="6" fillId="2" borderId="1" xfId="1" applyFont="1" applyFill="1" applyBorder="1" applyAlignment="1" applyProtection="1">
      <alignment horizontal="center" vertical="center" wrapText="1"/>
      <protection locked="0"/>
    </xf>
    <xf numFmtId="0" fontId="6" fillId="2" borderId="1" xfId="1" applyFont="1" applyFill="1" applyBorder="1" applyAlignment="1">
      <alignment vertical="center" wrapText="1"/>
    </xf>
    <xf numFmtId="1" fontId="7" fillId="2" borderId="1" xfId="1" applyNumberFormat="1" applyFont="1" applyFill="1" applyBorder="1" applyAlignment="1" applyProtection="1">
      <alignment horizontal="center" vertical="center"/>
      <protection locked="0"/>
    </xf>
    <xf numFmtId="0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164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NumberFormat="1" applyFont="1" applyFill="1" applyBorder="1" applyAlignment="1" applyProtection="1">
      <alignment vertical="center" wrapText="1"/>
      <protection locked="0"/>
    </xf>
    <xf numFmtId="0" fontId="3" fillId="2" borderId="1" xfId="1" applyFont="1" applyFill="1" applyBorder="1" applyAlignment="1" applyProtection="1">
      <alignment vertical="top" wrapText="1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1" fontId="6" fillId="2" borderId="1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 applyProtection="1">
      <alignment vertical="center" wrapText="1"/>
      <protection locked="0"/>
    </xf>
    <xf numFmtId="49" fontId="6" fillId="2" borderId="1" xfId="1" applyNumberFormat="1" applyFont="1" applyFill="1" applyBorder="1" applyAlignment="1" applyProtection="1">
      <alignment horizontal="left" vertical="center" wrapText="1"/>
      <protection locked="0"/>
    </xf>
    <xf numFmtId="49" fontId="3" fillId="2" borderId="1" xfId="1" applyNumberFormat="1" applyFont="1" applyFill="1" applyBorder="1" applyAlignment="1" applyProtection="1">
      <alignment horizontal="left" vertical="top" wrapText="1"/>
      <protection locked="0"/>
    </xf>
    <xf numFmtId="49" fontId="3" fillId="2" borderId="1" xfId="1" applyNumberFormat="1" applyFont="1" applyFill="1" applyBorder="1" applyAlignment="1" applyProtection="1">
      <alignment vertical="center" wrapText="1"/>
      <protection locked="0"/>
    </xf>
    <xf numFmtId="0" fontId="1" fillId="3" borderId="1" xfId="0" applyFont="1" applyFill="1" applyBorder="1"/>
    <xf numFmtId="0" fontId="1" fillId="3" borderId="1" xfId="0" applyNumberFormat="1" applyFont="1" applyFill="1" applyBorder="1"/>
    <xf numFmtId="0" fontId="4" fillId="2" borderId="1" xfId="1" applyNumberFormat="1" applyFont="1" applyFill="1" applyBorder="1" applyAlignment="1" applyProtection="1">
      <alignment horizontal="center" vertical="center"/>
      <protection locked="0"/>
    </xf>
    <xf numFmtId="0" fontId="1" fillId="2" borderId="1" xfId="0" applyNumberFormat="1" applyFont="1" applyFill="1" applyBorder="1"/>
  </cellXfs>
  <cellStyles count="3">
    <cellStyle name="Normal" xfId="0" builtinId="0"/>
    <cellStyle name="Normal_963ge01 2" xfId="1"/>
    <cellStyle name="Normal_DCR-1104help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8"/>
  <sheetViews>
    <sheetView tabSelected="1" workbookViewId="0">
      <selection activeCell="F1" sqref="F1:H1048576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87.85546875" customWidth="1"/>
    <col min="5" max="5" width="17.42578125" customWidth="1"/>
    <col min="6" max="6" width="12.85546875" style="1" hidden="1" customWidth="1"/>
    <col min="7" max="7" width="11.42578125" style="36" hidden="1" customWidth="1"/>
    <col min="8" max="8" width="11.42578125" style="1" hidden="1" customWidth="1"/>
    <col min="9" max="9" width="15.140625" customWidth="1"/>
    <col min="10" max="10" width="14.140625" customWidth="1"/>
    <col min="11" max="11" width="15.5703125" customWidth="1"/>
    <col min="12" max="12" width="19.140625" customWidth="1"/>
    <col min="13" max="13" width="19.28515625" customWidth="1"/>
  </cols>
  <sheetData>
    <row r="1" spans="1:13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s="33" t="s">
        <v>2062</v>
      </c>
      <c r="G1" s="34" t="s">
        <v>2063</v>
      </c>
      <c r="H1" s="33" t="s">
        <v>2064</v>
      </c>
      <c r="I1" t="s">
        <v>4</v>
      </c>
      <c r="J1" t="s">
        <v>5</v>
      </c>
      <c r="K1" t="s">
        <v>4</v>
      </c>
      <c r="L1" t="s">
        <v>5</v>
      </c>
      <c r="M1" t="s">
        <v>6</v>
      </c>
    </row>
    <row r="2" spans="1:13" x14ac:dyDescent="0.25">
      <c r="A2" s="1" t="s">
        <v>8</v>
      </c>
      <c r="B2" s="2" t="s">
        <v>9</v>
      </c>
      <c r="C2" s="3" t="s">
        <v>10</v>
      </c>
      <c r="D2" s="4" t="s">
        <v>11</v>
      </c>
      <c r="F2" s="5">
        <f t="shared" ref="F2:F26" si="0">G2+H2</f>
        <v>208</v>
      </c>
      <c r="G2" s="6">
        <v>208</v>
      </c>
      <c r="H2" s="7">
        <v>0</v>
      </c>
      <c r="I2" s="1">
        <f>G2*0.3</f>
        <v>62.4</v>
      </c>
      <c r="J2">
        <f>H2*0.3</f>
        <v>0</v>
      </c>
      <c r="K2">
        <f>G2*0.7</f>
        <v>145.6</v>
      </c>
      <c r="L2">
        <f>H2*0.7</f>
        <v>0</v>
      </c>
    </row>
    <row r="3" spans="1:13" x14ac:dyDescent="0.25">
      <c r="A3" s="1" t="s">
        <v>8</v>
      </c>
      <c r="B3" s="2" t="s">
        <v>12</v>
      </c>
      <c r="C3" s="3" t="s">
        <v>13</v>
      </c>
      <c r="D3" s="4" t="s">
        <v>14</v>
      </c>
      <c r="F3" s="5"/>
      <c r="G3" s="6"/>
      <c r="H3" s="7"/>
      <c r="I3" s="1">
        <f>G3*0.3</f>
        <v>0</v>
      </c>
      <c r="J3">
        <f>H3*0.3</f>
        <v>0</v>
      </c>
      <c r="K3">
        <f>G3*0.7</f>
        <v>0</v>
      </c>
      <c r="L3">
        <f>H3*0.7</f>
        <v>0</v>
      </c>
    </row>
    <row r="4" spans="1:13" x14ac:dyDescent="0.25">
      <c r="A4" s="1" t="s">
        <v>15</v>
      </c>
      <c r="B4" s="2" t="s">
        <v>16</v>
      </c>
      <c r="C4" s="3" t="s">
        <v>17</v>
      </c>
      <c r="D4" s="4" t="s">
        <v>18</v>
      </c>
      <c r="F4" s="5">
        <f t="shared" si="0"/>
        <v>39</v>
      </c>
      <c r="G4" s="6">
        <v>39</v>
      </c>
      <c r="H4" s="7">
        <v>0</v>
      </c>
      <c r="I4" s="1">
        <f t="shared" ref="I4:I67" si="1">G4*0.3</f>
        <v>11.7</v>
      </c>
      <c r="J4">
        <f t="shared" ref="J4:J67" si="2">H4*0.3</f>
        <v>0</v>
      </c>
      <c r="K4">
        <f t="shared" ref="K4:K67" si="3">G4*0.7</f>
        <v>27.299999999999997</v>
      </c>
      <c r="L4">
        <f t="shared" ref="L4:L67" si="4">H4*0.7</f>
        <v>0</v>
      </c>
    </row>
    <row r="5" spans="1:13" x14ac:dyDescent="0.25">
      <c r="A5" s="1" t="s">
        <v>15</v>
      </c>
      <c r="B5" s="2" t="s">
        <v>19</v>
      </c>
      <c r="C5" s="3" t="s">
        <v>20</v>
      </c>
      <c r="D5" s="4" t="s">
        <v>21</v>
      </c>
      <c r="F5" s="5">
        <f t="shared" si="0"/>
        <v>39</v>
      </c>
      <c r="G5" s="6">
        <v>39</v>
      </c>
      <c r="H5" s="7">
        <v>0</v>
      </c>
      <c r="I5" s="1">
        <f t="shared" si="1"/>
        <v>11.7</v>
      </c>
      <c r="J5">
        <f t="shared" si="2"/>
        <v>0</v>
      </c>
      <c r="K5">
        <f t="shared" si="3"/>
        <v>27.299999999999997</v>
      </c>
      <c r="L5">
        <f t="shared" si="4"/>
        <v>0</v>
      </c>
    </row>
    <row r="6" spans="1:13" x14ac:dyDescent="0.25">
      <c r="A6" s="1" t="s">
        <v>15</v>
      </c>
      <c r="B6" s="2" t="s">
        <v>22</v>
      </c>
      <c r="C6" s="3" t="s">
        <v>23</v>
      </c>
      <c r="D6" s="4" t="s">
        <v>24</v>
      </c>
      <c r="F6" s="5">
        <f t="shared" si="0"/>
        <v>39</v>
      </c>
      <c r="G6" s="6">
        <v>39</v>
      </c>
      <c r="H6" s="8">
        <v>0</v>
      </c>
      <c r="I6" s="1">
        <f t="shared" si="1"/>
        <v>11.7</v>
      </c>
      <c r="J6">
        <f t="shared" si="2"/>
        <v>0</v>
      </c>
      <c r="K6">
        <f t="shared" si="3"/>
        <v>27.299999999999997</v>
      </c>
      <c r="L6">
        <f t="shared" si="4"/>
        <v>0</v>
      </c>
    </row>
    <row r="7" spans="1:13" x14ac:dyDescent="0.25">
      <c r="A7" s="1" t="s">
        <v>15</v>
      </c>
      <c r="B7" s="2" t="s">
        <v>25</v>
      </c>
      <c r="C7" s="3" t="s">
        <v>26</v>
      </c>
      <c r="D7" s="4" t="s">
        <v>27</v>
      </c>
      <c r="F7" s="5">
        <f t="shared" si="0"/>
        <v>39</v>
      </c>
      <c r="G7" s="6">
        <v>39</v>
      </c>
      <c r="H7" s="8">
        <v>0</v>
      </c>
      <c r="I7" s="1">
        <f t="shared" si="1"/>
        <v>11.7</v>
      </c>
      <c r="J7">
        <f t="shared" si="2"/>
        <v>0</v>
      </c>
      <c r="K7">
        <f t="shared" si="3"/>
        <v>27.299999999999997</v>
      </c>
      <c r="L7">
        <f t="shared" si="4"/>
        <v>0</v>
      </c>
    </row>
    <row r="8" spans="1:13" x14ac:dyDescent="0.25">
      <c r="A8" s="1" t="s">
        <v>15</v>
      </c>
      <c r="B8" s="2" t="s">
        <v>28</v>
      </c>
      <c r="C8" s="3" t="s">
        <v>29</v>
      </c>
      <c r="D8" s="4" t="s">
        <v>30</v>
      </c>
      <c r="F8" s="5">
        <f t="shared" si="0"/>
        <v>39</v>
      </c>
      <c r="G8" s="6">
        <v>39</v>
      </c>
      <c r="H8" s="8">
        <v>0</v>
      </c>
      <c r="I8" s="1">
        <f t="shared" si="1"/>
        <v>11.7</v>
      </c>
      <c r="J8">
        <f t="shared" si="2"/>
        <v>0</v>
      </c>
      <c r="K8">
        <f t="shared" si="3"/>
        <v>27.299999999999997</v>
      </c>
      <c r="L8">
        <f t="shared" si="4"/>
        <v>0</v>
      </c>
    </row>
    <row r="9" spans="1:13" x14ac:dyDescent="0.25">
      <c r="A9" s="1" t="s">
        <v>15</v>
      </c>
      <c r="B9" s="9" t="s">
        <v>31</v>
      </c>
      <c r="C9" s="3" t="s">
        <v>32</v>
      </c>
      <c r="D9" s="4" t="s">
        <v>33</v>
      </c>
      <c r="F9" s="5">
        <f t="shared" si="0"/>
        <v>26</v>
      </c>
      <c r="G9" s="10">
        <v>26</v>
      </c>
      <c r="H9" s="7">
        <v>0</v>
      </c>
      <c r="I9" s="1">
        <f t="shared" si="1"/>
        <v>7.8</v>
      </c>
      <c r="J9">
        <f t="shared" si="2"/>
        <v>0</v>
      </c>
      <c r="K9">
        <f t="shared" si="3"/>
        <v>18.2</v>
      </c>
      <c r="L9">
        <f t="shared" si="4"/>
        <v>0</v>
      </c>
    </row>
    <row r="10" spans="1:13" x14ac:dyDescent="0.25">
      <c r="A10" s="1" t="s">
        <v>15</v>
      </c>
      <c r="B10" s="9" t="s">
        <v>34</v>
      </c>
      <c r="C10" s="3" t="s">
        <v>35</v>
      </c>
      <c r="D10" s="4" t="s">
        <v>36</v>
      </c>
      <c r="F10" s="5">
        <f t="shared" si="0"/>
        <v>26</v>
      </c>
      <c r="G10" s="10">
        <v>26</v>
      </c>
      <c r="H10" s="7">
        <v>0</v>
      </c>
      <c r="I10" s="1">
        <f t="shared" si="1"/>
        <v>7.8</v>
      </c>
      <c r="J10">
        <f t="shared" si="2"/>
        <v>0</v>
      </c>
      <c r="K10">
        <f t="shared" si="3"/>
        <v>18.2</v>
      </c>
      <c r="L10">
        <f t="shared" si="4"/>
        <v>0</v>
      </c>
    </row>
    <row r="11" spans="1:13" x14ac:dyDescent="0.25">
      <c r="A11" s="1" t="s">
        <v>15</v>
      </c>
      <c r="B11" s="9" t="s">
        <v>37</v>
      </c>
      <c r="C11" s="3" t="s">
        <v>38</v>
      </c>
      <c r="D11" s="4" t="s">
        <v>39</v>
      </c>
      <c r="F11" s="5">
        <f t="shared" si="0"/>
        <v>26</v>
      </c>
      <c r="G11" s="10">
        <v>26</v>
      </c>
      <c r="H11" s="7">
        <v>0</v>
      </c>
      <c r="I11" s="1">
        <f t="shared" si="1"/>
        <v>7.8</v>
      </c>
      <c r="J11">
        <f t="shared" si="2"/>
        <v>0</v>
      </c>
      <c r="K11">
        <f t="shared" si="3"/>
        <v>18.2</v>
      </c>
      <c r="L11">
        <f t="shared" si="4"/>
        <v>0</v>
      </c>
    </row>
    <row r="12" spans="1:13" x14ac:dyDescent="0.25">
      <c r="A12" s="1" t="s">
        <v>15</v>
      </c>
      <c r="B12" s="9" t="s">
        <v>40</v>
      </c>
      <c r="C12" s="3" t="s">
        <v>41</v>
      </c>
      <c r="D12" s="4" t="s">
        <v>42</v>
      </c>
      <c r="F12" s="5">
        <f t="shared" si="0"/>
        <v>26</v>
      </c>
      <c r="G12" s="10">
        <v>26</v>
      </c>
      <c r="H12" s="7">
        <v>0</v>
      </c>
      <c r="I12" s="1">
        <f t="shared" si="1"/>
        <v>7.8</v>
      </c>
      <c r="J12">
        <f t="shared" si="2"/>
        <v>0</v>
      </c>
      <c r="K12">
        <f t="shared" si="3"/>
        <v>18.2</v>
      </c>
      <c r="L12">
        <f t="shared" si="4"/>
        <v>0</v>
      </c>
    </row>
    <row r="13" spans="1:13" x14ac:dyDescent="0.25">
      <c r="A13" s="1" t="s">
        <v>15</v>
      </c>
      <c r="B13" s="9" t="s">
        <v>43</v>
      </c>
      <c r="C13" s="3"/>
      <c r="D13" s="4" t="s">
        <v>44</v>
      </c>
      <c r="F13" s="5">
        <f t="shared" si="0"/>
        <v>32.5</v>
      </c>
      <c r="G13" s="11">
        <v>13</v>
      </c>
      <c r="H13" s="7">
        <v>19.5</v>
      </c>
      <c r="I13" s="1">
        <f t="shared" si="1"/>
        <v>3.9</v>
      </c>
      <c r="J13">
        <f t="shared" si="2"/>
        <v>5.85</v>
      </c>
      <c r="K13">
        <f t="shared" si="3"/>
        <v>9.1</v>
      </c>
      <c r="L13">
        <f t="shared" si="4"/>
        <v>13.649999999999999</v>
      </c>
    </row>
    <row r="14" spans="1:13" x14ac:dyDescent="0.25">
      <c r="A14" s="1" t="s">
        <v>15</v>
      </c>
      <c r="B14" s="9" t="s">
        <v>45</v>
      </c>
      <c r="C14" s="3" t="s">
        <v>46</v>
      </c>
      <c r="D14" s="4" t="s">
        <v>47</v>
      </c>
      <c r="F14" s="5">
        <f t="shared" si="0"/>
        <v>62.4</v>
      </c>
      <c r="G14" s="11">
        <v>13</v>
      </c>
      <c r="H14" s="7">
        <v>49.4</v>
      </c>
      <c r="I14" s="1">
        <f t="shared" si="1"/>
        <v>3.9</v>
      </c>
      <c r="J14">
        <f t="shared" si="2"/>
        <v>14.819999999999999</v>
      </c>
      <c r="K14">
        <f t="shared" si="3"/>
        <v>9.1</v>
      </c>
      <c r="L14">
        <f t="shared" si="4"/>
        <v>34.58</v>
      </c>
    </row>
    <row r="15" spans="1:13" x14ac:dyDescent="0.25">
      <c r="A15" s="1" t="s">
        <v>15</v>
      </c>
      <c r="B15" s="9" t="s">
        <v>48</v>
      </c>
      <c r="C15" s="3" t="s">
        <v>49</v>
      </c>
      <c r="D15" s="4" t="s">
        <v>50</v>
      </c>
      <c r="F15" s="5">
        <f t="shared" si="0"/>
        <v>40.299999999999997</v>
      </c>
      <c r="G15" s="10">
        <v>20.8</v>
      </c>
      <c r="H15" s="7">
        <v>19.5</v>
      </c>
      <c r="I15" s="1">
        <f t="shared" si="1"/>
        <v>6.24</v>
      </c>
      <c r="J15">
        <f t="shared" si="2"/>
        <v>5.85</v>
      </c>
      <c r="K15">
        <f t="shared" si="3"/>
        <v>14.559999999999999</v>
      </c>
      <c r="L15">
        <f t="shared" si="4"/>
        <v>13.649999999999999</v>
      </c>
    </row>
    <row r="16" spans="1:13" x14ac:dyDescent="0.25">
      <c r="A16" s="1" t="s">
        <v>15</v>
      </c>
      <c r="B16" s="9" t="s">
        <v>51</v>
      </c>
      <c r="C16" s="3" t="s">
        <v>52</v>
      </c>
      <c r="D16" s="4" t="s">
        <v>53</v>
      </c>
      <c r="F16" s="5">
        <f t="shared" si="0"/>
        <v>24.7</v>
      </c>
      <c r="G16" s="10">
        <v>5.2</v>
      </c>
      <c r="H16" s="7">
        <v>19.5</v>
      </c>
      <c r="I16" s="1">
        <f t="shared" si="1"/>
        <v>1.56</v>
      </c>
      <c r="J16">
        <f t="shared" si="2"/>
        <v>5.85</v>
      </c>
      <c r="K16">
        <f t="shared" si="3"/>
        <v>3.6399999999999997</v>
      </c>
      <c r="L16">
        <f t="shared" si="4"/>
        <v>13.649999999999999</v>
      </c>
    </row>
    <row r="17" spans="1:12" x14ac:dyDescent="0.25">
      <c r="A17" s="1" t="s">
        <v>15</v>
      </c>
      <c r="B17" s="9" t="s">
        <v>54</v>
      </c>
      <c r="C17" s="3" t="s">
        <v>55</v>
      </c>
      <c r="D17" s="4" t="s">
        <v>56</v>
      </c>
      <c r="F17" s="5">
        <f t="shared" si="0"/>
        <v>27.3</v>
      </c>
      <c r="G17" s="10">
        <v>7.8000000000000007</v>
      </c>
      <c r="H17" s="7">
        <v>19.5</v>
      </c>
      <c r="I17" s="1">
        <f t="shared" si="1"/>
        <v>2.3400000000000003</v>
      </c>
      <c r="J17">
        <f t="shared" si="2"/>
        <v>5.85</v>
      </c>
      <c r="K17">
        <f t="shared" si="3"/>
        <v>5.46</v>
      </c>
      <c r="L17">
        <f t="shared" si="4"/>
        <v>13.649999999999999</v>
      </c>
    </row>
    <row r="18" spans="1:12" x14ac:dyDescent="0.25">
      <c r="A18" s="1" t="s">
        <v>15</v>
      </c>
      <c r="B18" s="9" t="s">
        <v>57</v>
      </c>
      <c r="C18" s="3" t="s">
        <v>58</v>
      </c>
      <c r="D18" s="4" t="s">
        <v>59</v>
      </c>
      <c r="F18" s="5">
        <f t="shared" si="0"/>
        <v>19.5</v>
      </c>
      <c r="G18" s="10">
        <v>19.5</v>
      </c>
      <c r="H18" s="7">
        <v>0</v>
      </c>
      <c r="I18" s="1">
        <f t="shared" si="1"/>
        <v>5.85</v>
      </c>
      <c r="J18">
        <f t="shared" si="2"/>
        <v>0</v>
      </c>
      <c r="K18">
        <f t="shared" si="3"/>
        <v>13.649999999999999</v>
      </c>
      <c r="L18">
        <f t="shared" si="4"/>
        <v>0</v>
      </c>
    </row>
    <row r="19" spans="1:12" x14ac:dyDescent="0.25">
      <c r="A19" s="1" t="s">
        <v>15</v>
      </c>
      <c r="B19" s="9" t="s">
        <v>60</v>
      </c>
      <c r="C19" s="3" t="s">
        <v>61</v>
      </c>
      <c r="D19" s="4" t="s">
        <v>62</v>
      </c>
      <c r="F19" s="5">
        <f t="shared" si="0"/>
        <v>52</v>
      </c>
      <c r="G19" s="10">
        <v>15.600000000000001</v>
      </c>
      <c r="H19" s="7">
        <v>36.4</v>
      </c>
      <c r="I19" s="1">
        <f t="shared" si="1"/>
        <v>4.6800000000000006</v>
      </c>
      <c r="J19">
        <f t="shared" si="2"/>
        <v>10.92</v>
      </c>
      <c r="K19">
        <f t="shared" si="3"/>
        <v>10.92</v>
      </c>
      <c r="L19">
        <f t="shared" si="4"/>
        <v>25.479999999999997</v>
      </c>
    </row>
    <row r="20" spans="1:12" x14ac:dyDescent="0.25">
      <c r="A20" s="1" t="s">
        <v>15</v>
      </c>
      <c r="B20" s="9" t="s">
        <v>63</v>
      </c>
      <c r="C20" s="3" t="s">
        <v>64</v>
      </c>
      <c r="D20" s="4" t="s">
        <v>65</v>
      </c>
      <c r="F20" s="5">
        <f t="shared" si="0"/>
        <v>49.400000000000006</v>
      </c>
      <c r="G20" s="10">
        <v>15.600000000000001</v>
      </c>
      <c r="H20" s="7">
        <v>33.800000000000004</v>
      </c>
      <c r="I20" s="1">
        <f t="shared" si="1"/>
        <v>4.6800000000000006</v>
      </c>
      <c r="J20">
        <f t="shared" si="2"/>
        <v>10.14</v>
      </c>
      <c r="K20">
        <f t="shared" si="3"/>
        <v>10.92</v>
      </c>
      <c r="L20">
        <f t="shared" si="4"/>
        <v>23.66</v>
      </c>
    </row>
    <row r="21" spans="1:12" x14ac:dyDescent="0.25">
      <c r="A21" s="1" t="s">
        <v>15</v>
      </c>
      <c r="B21" s="9" t="s">
        <v>66</v>
      </c>
      <c r="C21" s="3" t="s">
        <v>67</v>
      </c>
      <c r="D21" s="4" t="s">
        <v>68</v>
      </c>
      <c r="F21" s="5">
        <f t="shared" si="0"/>
        <v>11.700000000000001</v>
      </c>
      <c r="G21" s="10">
        <v>3.9000000000000004</v>
      </c>
      <c r="H21" s="7">
        <v>7.8000000000000007</v>
      </c>
      <c r="I21" s="1">
        <f t="shared" si="1"/>
        <v>1.1700000000000002</v>
      </c>
      <c r="J21">
        <f t="shared" si="2"/>
        <v>2.3400000000000003</v>
      </c>
      <c r="K21">
        <f t="shared" si="3"/>
        <v>2.73</v>
      </c>
      <c r="L21">
        <f t="shared" si="4"/>
        <v>5.46</v>
      </c>
    </row>
    <row r="22" spans="1:12" x14ac:dyDescent="0.25">
      <c r="A22" s="1" t="s">
        <v>15</v>
      </c>
      <c r="B22" s="9" t="s">
        <v>69</v>
      </c>
      <c r="C22" s="3" t="s">
        <v>70</v>
      </c>
      <c r="D22" s="4" t="s">
        <v>71</v>
      </c>
      <c r="F22" s="5">
        <f t="shared" si="0"/>
        <v>11.700000000000001</v>
      </c>
      <c r="G22" s="10">
        <v>3.9000000000000004</v>
      </c>
      <c r="H22" s="7">
        <v>7.8000000000000007</v>
      </c>
      <c r="I22" s="1">
        <f t="shared" si="1"/>
        <v>1.1700000000000002</v>
      </c>
      <c r="J22">
        <f t="shared" si="2"/>
        <v>2.3400000000000003</v>
      </c>
      <c r="K22">
        <f t="shared" si="3"/>
        <v>2.73</v>
      </c>
      <c r="L22">
        <f t="shared" si="4"/>
        <v>5.46</v>
      </c>
    </row>
    <row r="23" spans="1:12" x14ac:dyDescent="0.25">
      <c r="A23" s="1" t="s">
        <v>15</v>
      </c>
      <c r="B23" s="9" t="s">
        <v>72</v>
      </c>
      <c r="C23" s="3" t="s">
        <v>73</v>
      </c>
      <c r="D23" s="4" t="s">
        <v>74</v>
      </c>
      <c r="F23" s="5">
        <f t="shared" si="0"/>
        <v>11.700000000000001</v>
      </c>
      <c r="G23" s="10">
        <v>3.9000000000000004</v>
      </c>
      <c r="H23" s="7">
        <v>7.8000000000000007</v>
      </c>
      <c r="I23" s="1">
        <f t="shared" si="1"/>
        <v>1.1700000000000002</v>
      </c>
      <c r="J23">
        <f t="shared" si="2"/>
        <v>2.3400000000000003</v>
      </c>
      <c r="K23">
        <f t="shared" si="3"/>
        <v>2.73</v>
      </c>
      <c r="L23">
        <f t="shared" si="4"/>
        <v>5.46</v>
      </c>
    </row>
    <row r="24" spans="1:12" x14ac:dyDescent="0.25">
      <c r="A24" s="1" t="s">
        <v>15</v>
      </c>
      <c r="B24" s="9" t="s">
        <v>75</v>
      </c>
      <c r="C24" s="3" t="s">
        <v>76</v>
      </c>
      <c r="D24" s="4" t="s">
        <v>77</v>
      </c>
      <c r="F24" s="5">
        <f t="shared" si="0"/>
        <v>11.700000000000001</v>
      </c>
      <c r="G24" s="10">
        <v>3.9000000000000004</v>
      </c>
      <c r="H24" s="7">
        <v>7.8000000000000007</v>
      </c>
      <c r="I24" s="1">
        <f t="shared" si="1"/>
        <v>1.1700000000000002</v>
      </c>
      <c r="J24">
        <f t="shared" si="2"/>
        <v>2.3400000000000003</v>
      </c>
      <c r="K24">
        <f t="shared" si="3"/>
        <v>2.73</v>
      </c>
      <c r="L24">
        <f t="shared" si="4"/>
        <v>5.46</v>
      </c>
    </row>
    <row r="25" spans="1:12" x14ac:dyDescent="0.25">
      <c r="A25" s="1" t="s">
        <v>15</v>
      </c>
      <c r="B25" s="9" t="s">
        <v>78</v>
      </c>
      <c r="C25" s="3" t="s">
        <v>79</v>
      </c>
      <c r="D25" s="4" t="s">
        <v>80</v>
      </c>
      <c r="F25" s="5">
        <f t="shared" si="0"/>
        <v>11.700000000000001</v>
      </c>
      <c r="G25" s="10">
        <v>3.9000000000000004</v>
      </c>
      <c r="H25" s="7">
        <v>7.8000000000000007</v>
      </c>
      <c r="I25" s="1">
        <f t="shared" si="1"/>
        <v>1.1700000000000002</v>
      </c>
      <c r="J25">
        <f t="shared" si="2"/>
        <v>2.3400000000000003</v>
      </c>
      <c r="K25">
        <f t="shared" si="3"/>
        <v>2.73</v>
      </c>
      <c r="L25">
        <f t="shared" si="4"/>
        <v>5.46</v>
      </c>
    </row>
    <row r="26" spans="1:12" x14ac:dyDescent="0.25">
      <c r="A26" s="1" t="s">
        <v>15</v>
      </c>
      <c r="B26" s="9" t="s">
        <v>81</v>
      </c>
      <c r="C26" s="3" t="s">
        <v>82</v>
      </c>
      <c r="D26" s="4" t="s">
        <v>83</v>
      </c>
      <c r="F26" s="5">
        <f t="shared" si="0"/>
        <v>11.700000000000001</v>
      </c>
      <c r="G26" s="10">
        <v>3.9000000000000004</v>
      </c>
      <c r="H26" s="7">
        <v>7.8000000000000007</v>
      </c>
      <c r="I26" s="1">
        <f t="shared" si="1"/>
        <v>1.1700000000000002</v>
      </c>
      <c r="J26">
        <f t="shared" si="2"/>
        <v>2.3400000000000003</v>
      </c>
      <c r="K26">
        <f t="shared" si="3"/>
        <v>2.73</v>
      </c>
      <c r="L26">
        <f t="shared" si="4"/>
        <v>5.46</v>
      </c>
    </row>
    <row r="27" spans="1:12" x14ac:dyDescent="0.25">
      <c r="A27" s="1" t="s">
        <v>15</v>
      </c>
      <c r="B27" s="9" t="s">
        <v>84</v>
      </c>
      <c r="C27" s="3" t="s">
        <v>85</v>
      </c>
      <c r="D27" s="4" t="s">
        <v>86</v>
      </c>
      <c r="F27" s="5">
        <f>G27+H27</f>
        <v>53.3</v>
      </c>
      <c r="G27" s="10">
        <v>20.8</v>
      </c>
      <c r="H27" s="7">
        <v>32.5</v>
      </c>
      <c r="I27" s="1">
        <f t="shared" si="1"/>
        <v>6.24</v>
      </c>
      <c r="J27">
        <f t="shared" si="2"/>
        <v>9.75</v>
      </c>
      <c r="K27">
        <f t="shared" si="3"/>
        <v>14.559999999999999</v>
      </c>
      <c r="L27">
        <f t="shared" si="4"/>
        <v>22.75</v>
      </c>
    </row>
    <row r="28" spans="1:12" x14ac:dyDescent="0.25">
      <c r="A28" s="1" t="s">
        <v>15</v>
      </c>
      <c r="B28" s="9" t="s">
        <v>87</v>
      </c>
      <c r="C28" s="3" t="s">
        <v>88</v>
      </c>
      <c r="D28" s="4" t="s">
        <v>89</v>
      </c>
      <c r="F28" s="5">
        <f>G28+H28</f>
        <v>71.5</v>
      </c>
      <c r="G28" s="10">
        <v>71.5</v>
      </c>
      <c r="H28" s="7">
        <v>0</v>
      </c>
      <c r="I28" s="1">
        <f t="shared" si="1"/>
        <v>21.45</v>
      </c>
      <c r="J28">
        <f t="shared" si="2"/>
        <v>0</v>
      </c>
      <c r="K28">
        <f t="shared" si="3"/>
        <v>50.05</v>
      </c>
      <c r="L28">
        <f t="shared" si="4"/>
        <v>0</v>
      </c>
    </row>
    <row r="29" spans="1:12" x14ac:dyDescent="0.25">
      <c r="A29" s="1" t="s">
        <v>15</v>
      </c>
      <c r="B29" s="9" t="s">
        <v>90</v>
      </c>
      <c r="C29" s="3" t="s">
        <v>91</v>
      </c>
      <c r="D29" s="4" t="s">
        <v>92</v>
      </c>
      <c r="F29" s="5">
        <f>G29+H29</f>
        <v>67.600000000000009</v>
      </c>
      <c r="G29" s="10">
        <v>67.600000000000009</v>
      </c>
      <c r="H29" s="7">
        <v>0</v>
      </c>
      <c r="I29" s="1">
        <f t="shared" si="1"/>
        <v>20.28</v>
      </c>
      <c r="J29">
        <f t="shared" si="2"/>
        <v>0</v>
      </c>
      <c r="K29">
        <f t="shared" si="3"/>
        <v>47.32</v>
      </c>
      <c r="L29">
        <f t="shared" si="4"/>
        <v>0</v>
      </c>
    </row>
    <row r="30" spans="1:12" x14ac:dyDescent="0.25">
      <c r="A30" s="1" t="s">
        <v>15</v>
      </c>
      <c r="B30" s="9" t="s">
        <v>93</v>
      </c>
      <c r="C30" s="3" t="s">
        <v>94</v>
      </c>
      <c r="D30" s="4" t="s">
        <v>95</v>
      </c>
      <c r="F30" s="5">
        <f t="shared" ref="F30:F45" si="5">G30+H30</f>
        <v>52</v>
      </c>
      <c r="G30" s="10">
        <v>52</v>
      </c>
      <c r="H30" s="7">
        <v>0</v>
      </c>
      <c r="I30" s="1">
        <f t="shared" si="1"/>
        <v>15.6</v>
      </c>
      <c r="J30">
        <f t="shared" si="2"/>
        <v>0</v>
      </c>
      <c r="K30">
        <f t="shared" si="3"/>
        <v>36.4</v>
      </c>
      <c r="L30">
        <f t="shared" si="4"/>
        <v>0</v>
      </c>
    </row>
    <row r="31" spans="1:12" x14ac:dyDescent="0.25">
      <c r="A31" s="1" t="s">
        <v>15</v>
      </c>
      <c r="B31" s="9" t="s">
        <v>96</v>
      </c>
      <c r="C31" s="3" t="s">
        <v>97</v>
      </c>
      <c r="D31" s="4" t="s">
        <v>98</v>
      </c>
      <c r="F31" s="5">
        <f t="shared" si="5"/>
        <v>52</v>
      </c>
      <c r="G31" s="10">
        <v>52</v>
      </c>
      <c r="H31" s="7">
        <v>0</v>
      </c>
      <c r="I31" s="1">
        <f t="shared" si="1"/>
        <v>15.6</v>
      </c>
      <c r="J31">
        <f t="shared" si="2"/>
        <v>0</v>
      </c>
      <c r="K31">
        <f t="shared" si="3"/>
        <v>36.4</v>
      </c>
      <c r="L31">
        <f t="shared" si="4"/>
        <v>0</v>
      </c>
    </row>
    <row r="32" spans="1:12" x14ac:dyDescent="0.25">
      <c r="A32" s="1" t="s">
        <v>15</v>
      </c>
      <c r="B32" s="9" t="s">
        <v>99</v>
      </c>
      <c r="C32" s="3" t="s">
        <v>100</v>
      </c>
      <c r="D32" s="4" t="s">
        <v>101</v>
      </c>
      <c r="F32" s="5">
        <f t="shared" si="5"/>
        <v>52</v>
      </c>
      <c r="G32" s="10">
        <v>52</v>
      </c>
      <c r="H32" s="7">
        <v>0</v>
      </c>
      <c r="I32" s="1">
        <f t="shared" si="1"/>
        <v>15.6</v>
      </c>
      <c r="J32">
        <f t="shared" si="2"/>
        <v>0</v>
      </c>
      <c r="K32">
        <f t="shared" si="3"/>
        <v>36.4</v>
      </c>
      <c r="L32">
        <f t="shared" si="4"/>
        <v>0</v>
      </c>
    </row>
    <row r="33" spans="1:12" x14ac:dyDescent="0.25">
      <c r="A33" s="1" t="s">
        <v>15</v>
      </c>
      <c r="B33" s="9" t="s">
        <v>102</v>
      </c>
      <c r="C33" s="3" t="s">
        <v>103</v>
      </c>
      <c r="D33" s="4" t="s">
        <v>104</v>
      </c>
      <c r="F33" s="5">
        <f t="shared" si="5"/>
        <v>78</v>
      </c>
      <c r="G33" s="10">
        <v>78</v>
      </c>
      <c r="H33" s="7">
        <v>0</v>
      </c>
      <c r="I33" s="1">
        <f t="shared" si="1"/>
        <v>23.4</v>
      </c>
      <c r="J33">
        <f t="shared" si="2"/>
        <v>0</v>
      </c>
      <c r="K33">
        <f t="shared" si="3"/>
        <v>54.599999999999994</v>
      </c>
      <c r="L33">
        <f t="shared" si="4"/>
        <v>0</v>
      </c>
    </row>
    <row r="34" spans="1:12" x14ac:dyDescent="0.25">
      <c r="A34" s="1" t="s">
        <v>15</v>
      </c>
      <c r="B34" s="9" t="s">
        <v>105</v>
      </c>
      <c r="C34" s="3" t="s">
        <v>106</v>
      </c>
      <c r="D34" s="4" t="s">
        <v>107</v>
      </c>
      <c r="F34" s="5">
        <f t="shared" si="5"/>
        <v>78</v>
      </c>
      <c r="G34" s="10">
        <v>78</v>
      </c>
      <c r="H34" s="7">
        <v>0</v>
      </c>
      <c r="I34" s="1">
        <f t="shared" si="1"/>
        <v>23.4</v>
      </c>
      <c r="J34">
        <f t="shared" si="2"/>
        <v>0</v>
      </c>
      <c r="K34">
        <f t="shared" si="3"/>
        <v>54.599999999999994</v>
      </c>
      <c r="L34">
        <f t="shared" si="4"/>
        <v>0</v>
      </c>
    </row>
    <row r="35" spans="1:12" x14ac:dyDescent="0.25">
      <c r="A35" s="1" t="s">
        <v>15</v>
      </c>
      <c r="B35" s="9" t="s">
        <v>108</v>
      </c>
      <c r="C35" s="3" t="s">
        <v>109</v>
      </c>
      <c r="D35" s="4" t="s">
        <v>110</v>
      </c>
      <c r="F35" s="5">
        <f t="shared" si="5"/>
        <v>52</v>
      </c>
      <c r="G35" s="10">
        <v>52</v>
      </c>
      <c r="H35" s="7">
        <v>0</v>
      </c>
      <c r="I35" s="1">
        <f t="shared" si="1"/>
        <v>15.6</v>
      </c>
      <c r="J35">
        <f t="shared" si="2"/>
        <v>0</v>
      </c>
      <c r="K35">
        <f t="shared" si="3"/>
        <v>36.4</v>
      </c>
      <c r="L35">
        <f t="shared" si="4"/>
        <v>0</v>
      </c>
    </row>
    <row r="36" spans="1:12" x14ac:dyDescent="0.25">
      <c r="A36" s="1" t="s">
        <v>15</v>
      </c>
      <c r="B36" s="9" t="s">
        <v>111</v>
      </c>
      <c r="C36" s="3" t="s">
        <v>112</v>
      </c>
      <c r="D36" s="4" t="s">
        <v>113</v>
      </c>
      <c r="F36" s="5">
        <f t="shared" si="5"/>
        <v>67.600000000000009</v>
      </c>
      <c r="G36" s="10">
        <v>67.600000000000009</v>
      </c>
      <c r="H36" s="7">
        <v>0</v>
      </c>
      <c r="I36" s="1">
        <f t="shared" si="1"/>
        <v>20.28</v>
      </c>
      <c r="J36">
        <f t="shared" si="2"/>
        <v>0</v>
      </c>
      <c r="K36">
        <f t="shared" si="3"/>
        <v>47.32</v>
      </c>
      <c r="L36">
        <f t="shared" si="4"/>
        <v>0</v>
      </c>
    </row>
    <row r="37" spans="1:12" x14ac:dyDescent="0.25">
      <c r="A37" s="1" t="s">
        <v>15</v>
      </c>
      <c r="B37" s="9" t="s">
        <v>114</v>
      </c>
      <c r="C37" s="3" t="s">
        <v>115</v>
      </c>
      <c r="D37" s="4" t="s">
        <v>116</v>
      </c>
      <c r="F37" s="5">
        <f t="shared" si="5"/>
        <v>70.2</v>
      </c>
      <c r="G37" s="10">
        <v>70.2</v>
      </c>
      <c r="H37" s="7">
        <v>0</v>
      </c>
      <c r="I37" s="1">
        <f t="shared" si="1"/>
        <v>21.06</v>
      </c>
      <c r="J37">
        <f t="shared" si="2"/>
        <v>0</v>
      </c>
      <c r="K37">
        <f t="shared" si="3"/>
        <v>49.14</v>
      </c>
      <c r="L37">
        <f t="shared" si="4"/>
        <v>0</v>
      </c>
    </row>
    <row r="38" spans="1:12" x14ac:dyDescent="0.25">
      <c r="A38" s="1" t="s">
        <v>15</v>
      </c>
      <c r="B38" s="9" t="s">
        <v>117</v>
      </c>
      <c r="C38" s="3" t="s">
        <v>118</v>
      </c>
      <c r="D38" s="4" t="s">
        <v>119</v>
      </c>
      <c r="F38" s="5">
        <f t="shared" si="5"/>
        <v>58.5</v>
      </c>
      <c r="G38" s="10">
        <v>58.5</v>
      </c>
      <c r="H38" s="7">
        <v>0</v>
      </c>
      <c r="I38" s="1">
        <f t="shared" si="1"/>
        <v>17.55</v>
      </c>
      <c r="J38">
        <f t="shared" si="2"/>
        <v>0</v>
      </c>
      <c r="K38">
        <f t="shared" si="3"/>
        <v>40.949999999999996</v>
      </c>
      <c r="L38">
        <f t="shared" si="4"/>
        <v>0</v>
      </c>
    </row>
    <row r="39" spans="1:12" x14ac:dyDescent="0.25">
      <c r="A39" s="1" t="s">
        <v>15</v>
      </c>
      <c r="B39" s="9" t="s">
        <v>120</v>
      </c>
      <c r="C39" s="3" t="s">
        <v>121</v>
      </c>
      <c r="D39" s="4" t="s">
        <v>122</v>
      </c>
      <c r="F39" s="5">
        <f t="shared" si="5"/>
        <v>55.9</v>
      </c>
      <c r="G39" s="10">
        <v>55.9</v>
      </c>
      <c r="H39" s="7">
        <v>0</v>
      </c>
      <c r="I39" s="1">
        <f t="shared" si="1"/>
        <v>16.77</v>
      </c>
      <c r="J39">
        <f t="shared" si="2"/>
        <v>0</v>
      </c>
      <c r="K39">
        <f t="shared" si="3"/>
        <v>39.129999999999995</v>
      </c>
      <c r="L39">
        <f t="shared" si="4"/>
        <v>0</v>
      </c>
    </row>
    <row r="40" spans="1:12" x14ac:dyDescent="0.25">
      <c r="A40" s="1" t="s">
        <v>15</v>
      </c>
      <c r="B40" s="9" t="s">
        <v>123</v>
      </c>
      <c r="C40" s="3" t="s">
        <v>124</v>
      </c>
      <c r="D40" s="4" t="s">
        <v>125</v>
      </c>
      <c r="F40" s="5">
        <f t="shared" si="5"/>
        <v>58.5</v>
      </c>
      <c r="G40" s="10">
        <v>58.5</v>
      </c>
      <c r="H40" s="7">
        <v>0</v>
      </c>
      <c r="I40" s="1">
        <f t="shared" si="1"/>
        <v>17.55</v>
      </c>
      <c r="J40">
        <f t="shared" si="2"/>
        <v>0</v>
      </c>
      <c r="K40">
        <f t="shared" si="3"/>
        <v>40.949999999999996</v>
      </c>
      <c r="L40">
        <f t="shared" si="4"/>
        <v>0</v>
      </c>
    </row>
    <row r="41" spans="1:12" x14ac:dyDescent="0.25">
      <c r="A41" s="1" t="s">
        <v>15</v>
      </c>
      <c r="B41" s="9" t="s">
        <v>126</v>
      </c>
      <c r="C41" s="3" t="s">
        <v>127</v>
      </c>
      <c r="D41" s="4" t="s">
        <v>128</v>
      </c>
      <c r="F41" s="5">
        <f t="shared" si="5"/>
        <v>72.8</v>
      </c>
      <c r="G41" s="10">
        <v>72.8</v>
      </c>
      <c r="H41" s="7">
        <v>0</v>
      </c>
      <c r="I41" s="1">
        <f t="shared" si="1"/>
        <v>21.84</v>
      </c>
      <c r="J41">
        <f t="shared" si="2"/>
        <v>0</v>
      </c>
      <c r="K41">
        <f t="shared" si="3"/>
        <v>50.959999999999994</v>
      </c>
      <c r="L41">
        <f t="shared" si="4"/>
        <v>0</v>
      </c>
    </row>
    <row r="42" spans="1:12" x14ac:dyDescent="0.25">
      <c r="A42" s="1" t="s">
        <v>15</v>
      </c>
      <c r="B42" s="9" t="s">
        <v>129</v>
      </c>
      <c r="C42" s="3" t="s">
        <v>130</v>
      </c>
      <c r="D42" s="4" t="s">
        <v>131</v>
      </c>
      <c r="F42" s="5">
        <f t="shared" si="5"/>
        <v>62.400000000000006</v>
      </c>
      <c r="G42" s="10">
        <v>62.400000000000006</v>
      </c>
      <c r="H42" s="7">
        <v>0</v>
      </c>
      <c r="I42" s="1">
        <f t="shared" si="1"/>
        <v>18.720000000000002</v>
      </c>
      <c r="J42">
        <f t="shared" si="2"/>
        <v>0</v>
      </c>
      <c r="K42">
        <f t="shared" si="3"/>
        <v>43.68</v>
      </c>
      <c r="L42">
        <f t="shared" si="4"/>
        <v>0</v>
      </c>
    </row>
    <row r="43" spans="1:12" x14ac:dyDescent="0.25">
      <c r="A43" s="1" t="s">
        <v>15</v>
      </c>
      <c r="B43" s="9" t="s">
        <v>132</v>
      </c>
      <c r="C43" s="3" t="s">
        <v>133</v>
      </c>
      <c r="D43" s="4" t="s">
        <v>134</v>
      </c>
      <c r="F43" s="5">
        <f t="shared" si="5"/>
        <v>55.9</v>
      </c>
      <c r="G43" s="10">
        <v>55.9</v>
      </c>
      <c r="H43" s="7">
        <v>0</v>
      </c>
      <c r="I43" s="1">
        <f t="shared" si="1"/>
        <v>16.77</v>
      </c>
      <c r="J43">
        <f t="shared" si="2"/>
        <v>0</v>
      </c>
      <c r="K43">
        <f t="shared" si="3"/>
        <v>39.129999999999995</v>
      </c>
      <c r="L43">
        <f t="shared" si="4"/>
        <v>0</v>
      </c>
    </row>
    <row r="44" spans="1:12" x14ac:dyDescent="0.25">
      <c r="A44" s="1" t="s">
        <v>15</v>
      </c>
      <c r="B44" s="9" t="s">
        <v>135</v>
      </c>
      <c r="C44" s="3" t="s">
        <v>136</v>
      </c>
      <c r="D44" s="4" t="s">
        <v>137</v>
      </c>
      <c r="F44" s="5">
        <f t="shared" si="5"/>
        <v>54.6</v>
      </c>
      <c r="G44" s="10">
        <v>54.6</v>
      </c>
      <c r="H44" s="7">
        <v>0</v>
      </c>
      <c r="I44" s="1">
        <f t="shared" si="1"/>
        <v>16.38</v>
      </c>
      <c r="J44">
        <f t="shared" si="2"/>
        <v>0</v>
      </c>
      <c r="K44">
        <f t="shared" si="3"/>
        <v>38.22</v>
      </c>
      <c r="L44">
        <f t="shared" si="4"/>
        <v>0</v>
      </c>
    </row>
    <row r="45" spans="1:12" x14ac:dyDescent="0.25">
      <c r="A45" s="1" t="s">
        <v>15</v>
      </c>
      <c r="B45" s="9" t="s">
        <v>138</v>
      </c>
      <c r="C45" s="3" t="s">
        <v>139</v>
      </c>
      <c r="D45" s="4" t="s">
        <v>140</v>
      </c>
      <c r="F45" s="5">
        <f t="shared" si="5"/>
        <v>41.6</v>
      </c>
      <c r="G45" s="10">
        <v>41.6</v>
      </c>
      <c r="H45" s="7">
        <v>0</v>
      </c>
      <c r="I45" s="1">
        <f t="shared" si="1"/>
        <v>12.48</v>
      </c>
      <c r="J45">
        <f t="shared" si="2"/>
        <v>0</v>
      </c>
      <c r="K45">
        <f t="shared" si="3"/>
        <v>29.119999999999997</v>
      </c>
      <c r="L45">
        <f t="shared" si="4"/>
        <v>0</v>
      </c>
    </row>
    <row r="46" spans="1:12" x14ac:dyDescent="0.25">
      <c r="A46" s="1" t="s">
        <v>15</v>
      </c>
      <c r="B46" s="9" t="s">
        <v>141</v>
      </c>
      <c r="C46" s="3" t="s">
        <v>142</v>
      </c>
      <c r="D46" s="4" t="s">
        <v>143</v>
      </c>
      <c r="F46" s="5">
        <f>G46+H46</f>
        <v>83.2</v>
      </c>
      <c r="G46" s="10">
        <v>83.2</v>
      </c>
      <c r="H46" s="7">
        <v>0</v>
      </c>
      <c r="I46" s="1">
        <f t="shared" si="1"/>
        <v>24.96</v>
      </c>
      <c r="J46">
        <f t="shared" si="2"/>
        <v>0</v>
      </c>
      <c r="K46">
        <f t="shared" si="3"/>
        <v>58.239999999999995</v>
      </c>
      <c r="L46">
        <f t="shared" si="4"/>
        <v>0</v>
      </c>
    </row>
    <row r="47" spans="1:12" x14ac:dyDescent="0.25">
      <c r="A47" s="1" t="s">
        <v>15</v>
      </c>
      <c r="B47" s="9" t="s">
        <v>144</v>
      </c>
      <c r="C47" s="3" t="s">
        <v>145</v>
      </c>
      <c r="D47" s="4" t="s">
        <v>146</v>
      </c>
      <c r="F47" s="5">
        <f>G47+H47</f>
        <v>41.6</v>
      </c>
      <c r="G47" s="10">
        <v>41.6</v>
      </c>
      <c r="H47" s="7">
        <v>0</v>
      </c>
      <c r="I47" s="1">
        <f t="shared" si="1"/>
        <v>12.48</v>
      </c>
      <c r="J47">
        <f t="shared" si="2"/>
        <v>0</v>
      </c>
      <c r="K47">
        <f t="shared" si="3"/>
        <v>29.119999999999997</v>
      </c>
      <c r="L47">
        <f t="shared" si="4"/>
        <v>0</v>
      </c>
    </row>
    <row r="48" spans="1:12" x14ac:dyDescent="0.25">
      <c r="A48" s="1" t="s">
        <v>15</v>
      </c>
      <c r="B48" s="9" t="s">
        <v>147</v>
      </c>
      <c r="C48" s="3" t="s">
        <v>148</v>
      </c>
      <c r="D48" s="4" t="s">
        <v>149</v>
      </c>
      <c r="F48" s="5">
        <f>G48+H48</f>
        <v>18.2</v>
      </c>
      <c r="G48" s="10">
        <v>18.2</v>
      </c>
      <c r="H48" s="7">
        <v>0</v>
      </c>
      <c r="I48" s="1">
        <f t="shared" si="1"/>
        <v>5.46</v>
      </c>
      <c r="J48">
        <f t="shared" si="2"/>
        <v>0</v>
      </c>
      <c r="K48">
        <f t="shared" si="3"/>
        <v>12.739999999999998</v>
      </c>
      <c r="L48">
        <f t="shared" si="4"/>
        <v>0</v>
      </c>
    </row>
    <row r="49" spans="1:12" x14ac:dyDescent="0.25">
      <c r="A49" s="1" t="s">
        <v>15</v>
      </c>
      <c r="B49" s="9" t="s">
        <v>150</v>
      </c>
      <c r="C49" s="3" t="s">
        <v>151</v>
      </c>
      <c r="D49" s="4" t="s">
        <v>152</v>
      </c>
      <c r="F49" s="5">
        <f t="shared" ref="F49:F54" si="6">G49+H49</f>
        <v>41.6</v>
      </c>
      <c r="G49" s="10">
        <v>41.6</v>
      </c>
      <c r="H49" s="7">
        <v>0</v>
      </c>
      <c r="I49" s="1">
        <f t="shared" si="1"/>
        <v>12.48</v>
      </c>
      <c r="J49">
        <f t="shared" si="2"/>
        <v>0</v>
      </c>
      <c r="K49">
        <f t="shared" si="3"/>
        <v>29.119999999999997</v>
      </c>
      <c r="L49">
        <f t="shared" si="4"/>
        <v>0</v>
      </c>
    </row>
    <row r="50" spans="1:12" x14ac:dyDescent="0.25">
      <c r="A50" s="1" t="s">
        <v>15</v>
      </c>
      <c r="B50" s="9" t="s">
        <v>153</v>
      </c>
      <c r="C50" s="3" t="s">
        <v>154</v>
      </c>
      <c r="D50" s="4" t="s">
        <v>155</v>
      </c>
      <c r="F50" s="5">
        <f t="shared" si="6"/>
        <v>32.5</v>
      </c>
      <c r="G50" s="10">
        <v>32.5</v>
      </c>
      <c r="H50" s="7">
        <v>0</v>
      </c>
      <c r="I50" s="1">
        <f t="shared" si="1"/>
        <v>9.75</v>
      </c>
      <c r="J50">
        <f t="shared" si="2"/>
        <v>0</v>
      </c>
      <c r="K50">
        <f t="shared" si="3"/>
        <v>22.75</v>
      </c>
      <c r="L50">
        <f t="shared" si="4"/>
        <v>0</v>
      </c>
    </row>
    <row r="51" spans="1:12" x14ac:dyDescent="0.25">
      <c r="A51" s="1" t="s">
        <v>15</v>
      </c>
      <c r="B51" s="9" t="s">
        <v>156</v>
      </c>
      <c r="C51" s="3" t="s">
        <v>157</v>
      </c>
      <c r="D51" s="4" t="s">
        <v>158</v>
      </c>
      <c r="F51" s="5">
        <f t="shared" si="6"/>
        <v>32.5</v>
      </c>
      <c r="G51" s="10">
        <v>32.5</v>
      </c>
      <c r="H51" s="7">
        <v>0</v>
      </c>
      <c r="I51" s="1">
        <f t="shared" si="1"/>
        <v>9.75</v>
      </c>
      <c r="J51">
        <f t="shared" si="2"/>
        <v>0</v>
      </c>
      <c r="K51">
        <f t="shared" si="3"/>
        <v>22.75</v>
      </c>
      <c r="L51">
        <f t="shared" si="4"/>
        <v>0</v>
      </c>
    </row>
    <row r="52" spans="1:12" x14ac:dyDescent="0.25">
      <c r="A52" s="1" t="s">
        <v>15</v>
      </c>
      <c r="B52" s="9" t="s">
        <v>159</v>
      </c>
      <c r="C52" s="3" t="s">
        <v>160</v>
      </c>
      <c r="D52" s="4" t="s">
        <v>161</v>
      </c>
      <c r="F52" s="5">
        <f t="shared" si="6"/>
        <v>32.5</v>
      </c>
      <c r="G52" s="10">
        <v>32.5</v>
      </c>
      <c r="H52" s="7">
        <v>0</v>
      </c>
      <c r="I52" s="1">
        <f t="shared" si="1"/>
        <v>9.75</v>
      </c>
      <c r="J52">
        <f t="shared" si="2"/>
        <v>0</v>
      </c>
      <c r="K52">
        <f t="shared" si="3"/>
        <v>22.75</v>
      </c>
      <c r="L52">
        <f t="shared" si="4"/>
        <v>0</v>
      </c>
    </row>
    <row r="53" spans="1:12" x14ac:dyDescent="0.25">
      <c r="A53" s="1" t="s">
        <v>15</v>
      </c>
      <c r="B53" s="9" t="s">
        <v>162</v>
      </c>
      <c r="C53" s="3" t="s">
        <v>163</v>
      </c>
      <c r="D53" s="4" t="s">
        <v>164</v>
      </c>
      <c r="F53" s="5">
        <f t="shared" si="6"/>
        <v>32.5</v>
      </c>
      <c r="G53" s="10">
        <v>32.5</v>
      </c>
      <c r="H53" s="7">
        <v>0</v>
      </c>
      <c r="I53" s="1">
        <f t="shared" si="1"/>
        <v>9.75</v>
      </c>
      <c r="J53">
        <f t="shared" si="2"/>
        <v>0</v>
      </c>
      <c r="K53">
        <f t="shared" si="3"/>
        <v>22.75</v>
      </c>
      <c r="L53">
        <f t="shared" si="4"/>
        <v>0</v>
      </c>
    </row>
    <row r="54" spans="1:12" x14ac:dyDescent="0.25">
      <c r="A54" s="1" t="s">
        <v>15</v>
      </c>
      <c r="B54" s="9" t="s">
        <v>165</v>
      </c>
      <c r="C54" s="3" t="s">
        <v>166</v>
      </c>
      <c r="D54" s="4" t="s">
        <v>167</v>
      </c>
      <c r="F54" s="5">
        <f t="shared" si="6"/>
        <v>32.5</v>
      </c>
      <c r="G54" s="10">
        <v>32.5</v>
      </c>
      <c r="H54" s="7">
        <v>0</v>
      </c>
      <c r="I54" s="1">
        <f t="shared" si="1"/>
        <v>9.75</v>
      </c>
      <c r="J54">
        <f t="shared" si="2"/>
        <v>0</v>
      </c>
      <c r="K54">
        <f t="shared" si="3"/>
        <v>22.75</v>
      </c>
      <c r="L54">
        <f t="shared" si="4"/>
        <v>0</v>
      </c>
    </row>
    <row r="55" spans="1:12" x14ac:dyDescent="0.25">
      <c r="A55" s="1" t="s">
        <v>15</v>
      </c>
      <c r="B55" s="9" t="s">
        <v>168</v>
      </c>
      <c r="C55" s="3" t="s">
        <v>169</v>
      </c>
      <c r="D55" s="4" t="s">
        <v>170</v>
      </c>
      <c r="F55" s="5"/>
      <c r="G55" s="10"/>
      <c r="H55" s="7"/>
      <c r="I55" s="1">
        <f t="shared" si="1"/>
        <v>0</v>
      </c>
      <c r="J55">
        <f t="shared" si="2"/>
        <v>0</v>
      </c>
      <c r="K55">
        <f t="shared" si="3"/>
        <v>0</v>
      </c>
      <c r="L55">
        <f t="shared" si="4"/>
        <v>0</v>
      </c>
    </row>
    <row r="56" spans="1:12" x14ac:dyDescent="0.25">
      <c r="A56" s="1" t="s">
        <v>15</v>
      </c>
      <c r="B56" s="9" t="s">
        <v>171</v>
      </c>
      <c r="C56" s="3" t="s">
        <v>172</v>
      </c>
      <c r="D56" s="12" t="s">
        <v>173</v>
      </c>
      <c r="F56" s="5">
        <f t="shared" ref="F56:F62" si="7">G56+H56</f>
        <v>130</v>
      </c>
      <c r="G56" s="6">
        <v>130</v>
      </c>
      <c r="H56" s="7">
        <v>0</v>
      </c>
      <c r="I56" s="1">
        <f t="shared" si="1"/>
        <v>39</v>
      </c>
      <c r="J56">
        <f t="shared" si="2"/>
        <v>0</v>
      </c>
      <c r="K56">
        <f t="shared" si="3"/>
        <v>91</v>
      </c>
      <c r="L56">
        <f t="shared" si="4"/>
        <v>0</v>
      </c>
    </row>
    <row r="57" spans="1:12" x14ac:dyDescent="0.25">
      <c r="A57" s="1" t="s">
        <v>15</v>
      </c>
      <c r="B57" s="9" t="s">
        <v>174</v>
      </c>
      <c r="C57" s="3" t="s">
        <v>175</v>
      </c>
      <c r="D57" s="13" t="s">
        <v>176</v>
      </c>
      <c r="F57" s="5">
        <f t="shared" si="7"/>
        <v>46.800000000000004</v>
      </c>
      <c r="G57" s="6">
        <v>46.800000000000004</v>
      </c>
      <c r="H57" s="14">
        <v>0</v>
      </c>
      <c r="I57" s="1">
        <f t="shared" si="1"/>
        <v>14.040000000000001</v>
      </c>
      <c r="J57">
        <f t="shared" si="2"/>
        <v>0</v>
      </c>
      <c r="K57">
        <f t="shared" si="3"/>
        <v>32.76</v>
      </c>
      <c r="L57">
        <f t="shared" si="4"/>
        <v>0</v>
      </c>
    </row>
    <row r="58" spans="1:12" x14ac:dyDescent="0.25">
      <c r="A58" s="1" t="s">
        <v>15</v>
      </c>
      <c r="B58" s="9" t="s">
        <v>177</v>
      </c>
      <c r="C58" s="3" t="s">
        <v>178</v>
      </c>
      <c r="D58" s="12" t="s">
        <v>179</v>
      </c>
      <c r="F58" s="5">
        <f t="shared" si="7"/>
        <v>36.4</v>
      </c>
      <c r="G58" s="6">
        <v>36.4</v>
      </c>
      <c r="H58" s="7">
        <v>0</v>
      </c>
      <c r="I58" s="1">
        <f t="shared" si="1"/>
        <v>10.92</v>
      </c>
      <c r="J58">
        <f t="shared" si="2"/>
        <v>0</v>
      </c>
      <c r="K58">
        <f t="shared" si="3"/>
        <v>25.479999999999997</v>
      </c>
      <c r="L58">
        <f t="shared" si="4"/>
        <v>0</v>
      </c>
    </row>
    <row r="59" spans="1:12" x14ac:dyDescent="0.25">
      <c r="A59" s="1" t="s">
        <v>15</v>
      </c>
      <c r="B59" s="9" t="s">
        <v>180</v>
      </c>
      <c r="C59" s="3" t="s">
        <v>181</v>
      </c>
      <c r="D59" s="12" t="s">
        <v>182</v>
      </c>
      <c r="F59" s="5">
        <f t="shared" si="7"/>
        <v>182</v>
      </c>
      <c r="G59" s="6">
        <v>182</v>
      </c>
      <c r="H59" s="7">
        <v>0</v>
      </c>
      <c r="I59" s="1">
        <f t="shared" si="1"/>
        <v>54.6</v>
      </c>
      <c r="J59">
        <f t="shared" si="2"/>
        <v>0</v>
      </c>
      <c r="K59">
        <f t="shared" si="3"/>
        <v>127.39999999999999</v>
      </c>
      <c r="L59">
        <f t="shared" si="4"/>
        <v>0</v>
      </c>
    </row>
    <row r="60" spans="1:12" x14ac:dyDescent="0.25">
      <c r="A60" s="1" t="s">
        <v>15</v>
      </c>
      <c r="B60" s="9" t="s">
        <v>183</v>
      </c>
      <c r="C60" s="3" t="s">
        <v>184</v>
      </c>
      <c r="D60" s="12" t="s">
        <v>185</v>
      </c>
      <c r="F60" s="5">
        <f t="shared" si="7"/>
        <v>52</v>
      </c>
      <c r="G60" s="10">
        <v>52</v>
      </c>
      <c r="H60" s="7">
        <v>0</v>
      </c>
      <c r="I60" s="1">
        <f t="shared" si="1"/>
        <v>15.6</v>
      </c>
      <c r="J60">
        <f t="shared" si="2"/>
        <v>0</v>
      </c>
      <c r="K60">
        <f t="shared" si="3"/>
        <v>36.4</v>
      </c>
      <c r="L60">
        <f t="shared" si="4"/>
        <v>0</v>
      </c>
    </row>
    <row r="61" spans="1:12" x14ac:dyDescent="0.25">
      <c r="A61" s="1" t="s">
        <v>15</v>
      </c>
      <c r="B61" s="9" t="s">
        <v>186</v>
      </c>
      <c r="C61" s="3" t="s">
        <v>187</v>
      </c>
      <c r="D61" s="12" t="s">
        <v>188</v>
      </c>
      <c r="F61" s="5">
        <f t="shared" si="7"/>
        <v>52</v>
      </c>
      <c r="G61" s="10">
        <v>52</v>
      </c>
      <c r="H61" s="7">
        <v>0</v>
      </c>
      <c r="I61" s="1">
        <f t="shared" si="1"/>
        <v>15.6</v>
      </c>
      <c r="J61">
        <f t="shared" si="2"/>
        <v>0</v>
      </c>
      <c r="K61">
        <f t="shared" si="3"/>
        <v>36.4</v>
      </c>
      <c r="L61">
        <f t="shared" si="4"/>
        <v>0</v>
      </c>
    </row>
    <row r="62" spans="1:12" x14ac:dyDescent="0.25">
      <c r="A62" s="1" t="s">
        <v>15</v>
      </c>
      <c r="B62" s="9" t="s">
        <v>189</v>
      </c>
      <c r="C62" s="3" t="s">
        <v>190</v>
      </c>
      <c r="D62" s="13" t="s">
        <v>191</v>
      </c>
      <c r="F62" s="5">
        <f t="shared" si="7"/>
        <v>20.8</v>
      </c>
      <c r="G62" s="11">
        <v>20.8</v>
      </c>
      <c r="H62" s="14">
        <v>0</v>
      </c>
      <c r="I62" s="1">
        <f t="shared" si="1"/>
        <v>6.24</v>
      </c>
      <c r="J62">
        <f t="shared" si="2"/>
        <v>0</v>
      </c>
      <c r="K62">
        <f t="shared" si="3"/>
        <v>14.559999999999999</v>
      </c>
      <c r="L62">
        <f t="shared" si="4"/>
        <v>0</v>
      </c>
    </row>
    <row r="63" spans="1:12" ht="30" x14ac:dyDescent="0.25">
      <c r="A63" s="1" t="s">
        <v>15</v>
      </c>
      <c r="B63" s="9" t="s">
        <v>192</v>
      </c>
      <c r="C63" s="3" t="s">
        <v>193</v>
      </c>
      <c r="D63" s="13" t="s">
        <v>194</v>
      </c>
      <c r="F63" s="5"/>
      <c r="G63" s="11"/>
      <c r="H63" s="14"/>
      <c r="I63" s="1">
        <f t="shared" si="1"/>
        <v>0</v>
      </c>
      <c r="J63">
        <f t="shared" si="2"/>
        <v>0</v>
      </c>
      <c r="K63">
        <f t="shared" si="3"/>
        <v>0</v>
      </c>
      <c r="L63">
        <f t="shared" si="4"/>
        <v>0</v>
      </c>
    </row>
    <row r="64" spans="1:12" x14ac:dyDescent="0.25">
      <c r="A64" s="1" t="s">
        <v>15</v>
      </c>
      <c r="B64" s="9" t="s">
        <v>195</v>
      </c>
      <c r="C64" s="3" t="s">
        <v>196</v>
      </c>
      <c r="D64" s="4" t="s">
        <v>197</v>
      </c>
      <c r="F64" s="5">
        <f t="shared" ref="F64:F95" si="8">G64+H64</f>
        <v>46.8</v>
      </c>
      <c r="G64" s="6">
        <v>20.8</v>
      </c>
      <c r="H64" s="8">
        <v>26</v>
      </c>
      <c r="I64" s="1">
        <f t="shared" si="1"/>
        <v>6.24</v>
      </c>
      <c r="J64">
        <f t="shared" si="2"/>
        <v>7.8</v>
      </c>
      <c r="K64">
        <f t="shared" si="3"/>
        <v>14.559999999999999</v>
      </c>
      <c r="L64">
        <f t="shared" si="4"/>
        <v>18.2</v>
      </c>
    </row>
    <row r="65" spans="1:12" x14ac:dyDescent="0.25">
      <c r="A65" s="1" t="s">
        <v>15</v>
      </c>
      <c r="B65" s="9" t="s">
        <v>198</v>
      </c>
      <c r="C65" s="3" t="s">
        <v>199</v>
      </c>
      <c r="D65" s="15" t="s">
        <v>200</v>
      </c>
      <c r="F65" s="5">
        <f t="shared" si="8"/>
        <v>46.8</v>
      </c>
      <c r="G65" s="6">
        <v>20.8</v>
      </c>
      <c r="H65" s="8">
        <v>26</v>
      </c>
      <c r="I65" s="1">
        <f t="shared" si="1"/>
        <v>6.24</v>
      </c>
      <c r="J65">
        <f t="shared" si="2"/>
        <v>7.8</v>
      </c>
      <c r="K65">
        <f t="shared" si="3"/>
        <v>14.559999999999999</v>
      </c>
      <c r="L65">
        <f t="shared" si="4"/>
        <v>18.2</v>
      </c>
    </row>
    <row r="66" spans="1:12" x14ac:dyDescent="0.25">
      <c r="A66" s="1" t="s">
        <v>15</v>
      </c>
      <c r="B66" s="9" t="s">
        <v>201</v>
      </c>
      <c r="C66" s="3" t="s">
        <v>202</v>
      </c>
      <c r="D66" s="15" t="s">
        <v>203</v>
      </c>
      <c r="F66" s="5">
        <f t="shared" si="8"/>
        <v>46.8</v>
      </c>
      <c r="G66" s="6">
        <v>20.8</v>
      </c>
      <c r="H66" s="8">
        <v>26</v>
      </c>
      <c r="I66" s="1">
        <f t="shared" si="1"/>
        <v>6.24</v>
      </c>
      <c r="J66">
        <f t="shared" si="2"/>
        <v>7.8</v>
      </c>
      <c r="K66">
        <f t="shared" si="3"/>
        <v>14.559999999999999</v>
      </c>
      <c r="L66">
        <f t="shared" si="4"/>
        <v>18.2</v>
      </c>
    </row>
    <row r="67" spans="1:12" x14ac:dyDescent="0.25">
      <c r="A67" s="1" t="s">
        <v>15</v>
      </c>
      <c r="B67" s="9" t="s">
        <v>204</v>
      </c>
      <c r="C67" s="3" t="s">
        <v>205</v>
      </c>
      <c r="D67" s="15" t="s">
        <v>206</v>
      </c>
      <c r="F67" s="5">
        <f t="shared" si="8"/>
        <v>46.8</v>
      </c>
      <c r="G67" s="6">
        <v>20.8</v>
      </c>
      <c r="H67" s="8">
        <v>26</v>
      </c>
      <c r="I67" s="1">
        <f t="shared" si="1"/>
        <v>6.24</v>
      </c>
      <c r="J67">
        <f t="shared" si="2"/>
        <v>7.8</v>
      </c>
      <c r="K67">
        <f t="shared" si="3"/>
        <v>14.559999999999999</v>
      </c>
      <c r="L67">
        <f t="shared" si="4"/>
        <v>18.2</v>
      </c>
    </row>
    <row r="68" spans="1:12" ht="30" x14ac:dyDescent="0.25">
      <c r="A68" s="1" t="s">
        <v>15</v>
      </c>
      <c r="B68" s="9" t="s">
        <v>207</v>
      </c>
      <c r="C68" s="3" t="s">
        <v>208</v>
      </c>
      <c r="D68" s="15" t="s">
        <v>209</v>
      </c>
      <c r="F68" s="5">
        <f t="shared" si="8"/>
        <v>46.8</v>
      </c>
      <c r="G68" s="6">
        <v>20.8</v>
      </c>
      <c r="H68" s="8">
        <v>26</v>
      </c>
      <c r="I68" s="1">
        <f t="shared" ref="I68:I131" si="9">G68*0.3</f>
        <v>6.24</v>
      </c>
      <c r="J68">
        <f t="shared" ref="J68:J131" si="10">H68*0.3</f>
        <v>7.8</v>
      </c>
      <c r="K68">
        <f t="shared" ref="K68:K131" si="11">G68*0.7</f>
        <v>14.559999999999999</v>
      </c>
      <c r="L68">
        <f t="shared" ref="L68:L131" si="12">H68*0.7</f>
        <v>18.2</v>
      </c>
    </row>
    <row r="69" spans="1:12" ht="30" x14ac:dyDescent="0.25">
      <c r="A69" s="1" t="s">
        <v>15</v>
      </c>
      <c r="B69" s="9" t="s">
        <v>210</v>
      </c>
      <c r="C69" s="3" t="s">
        <v>211</v>
      </c>
      <c r="D69" s="15" t="s">
        <v>212</v>
      </c>
      <c r="F69" s="5">
        <f t="shared" si="8"/>
        <v>46.8</v>
      </c>
      <c r="G69" s="6">
        <v>20.8</v>
      </c>
      <c r="H69" s="8">
        <v>26</v>
      </c>
      <c r="I69" s="1">
        <f t="shared" si="9"/>
        <v>6.24</v>
      </c>
      <c r="J69">
        <f t="shared" si="10"/>
        <v>7.8</v>
      </c>
      <c r="K69">
        <f t="shared" si="11"/>
        <v>14.559999999999999</v>
      </c>
      <c r="L69">
        <f t="shared" si="12"/>
        <v>18.2</v>
      </c>
    </row>
    <row r="70" spans="1:12" ht="30" x14ac:dyDescent="0.25">
      <c r="A70" s="1" t="s">
        <v>15</v>
      </c>
      <c r="B70" s="9" t="s">
        <v>213</v>
      </c>
      <c r="C70" s="3" t="s">
        <v>214</v>
      </c>
      <c r="D70" s="15" t="s">
        <v>215</v>
      </c>
      <c r="F70" s="5">
        <f t="shared" si="8"/>
        <v>46.8</v>
      </c>
      <c r="G70" s="6">
        <v>20.8</v>
      </c>
      <c r="H70" s="8">
        <v>26</v>
      </c>
      <c r="I70" s="1">
        <f t="shared" si="9"/>
        <v>6.24</v>
      </c>
      <c r="J70">
        <f t="shared" si="10"/>
        <v>7.8</v>
      </c>
      <c r="K70">
        <f t="shared" si="11"/>
        <v>14.559999999999999</v>
      </c>
      <c r="L70">
        <f t="shared" si="12"/>
        <v>18.2</v>
      </c>
    </row>
    <row r="71" spans="1:12" ht="30" x14ac:dyDescent="0.25">
      <c r="A71" s="1" t="s">
        <v>15</v>
      </c>
      <c r="B71" s="9" t="s">
        <v>216</v>
      </c>
      <c r="C71" s="3" t="s">
        <v>217</v>
      </c>
      <c r="D71" s="15" t="s">
        <v>218</v>
      </c>
      <c r="F71" s="5">
        <f t="shared" si="8"/>
        <v>46.8</v>
      </c>
      <c r="G71" s="6">
        <v>20.8</v>
      </c>
      <c r="H71" s="8">
        <v>26</v>
      </c>
      <c r="I71" s="1">
        <f t="shared" si="9"/>
        <v>6.24</v>
      </c>
      <c r="J71">
        <f t="shared" si="10"/>
        <v>7.8</v>
      </c>
      <c r="K71">
        <f t="shared" si="11"/>
        <v>14.559999999999999</v>
      </c>
      <c r="L71">
        <f t="shared" si="12"/>
        <v>18.2</v>
      </c>
    </row>
    <row r="72" spans="1:12" ht="30" x14ac:dyDescent="0.25">
      <c r="A72" s="1" t="s">
        <v>15</v>
      </c>
      <c r="B72" s="9" t="s">
        <v>219</v>
      </c>
      <c r="C72" s="3" t="s">
        <v>220</v>
      </c>
      <c r="D72" s="15" t="s">
        <v>221</v>
      </c>
      <c r="F72" s="5">
        <f t="shared" si="8"/>
        <v>46.8</v>
      </c>
      <c r="G72" s="6">
        <v>20.8</v>
      </c>
      <c r="H72" s="8">
        <v>26</v>
      </c>
      <c r="I72" s="1">
        <f t="shared" si="9"/>
        <v>6.24</v>
      </c>
      <c r="J72">
        <f t="shared" si="10"/>
        <v>7.8</v>
      </c>
      <c r="K72">
        <f t="shared" si="11"/>
        <v>14.559999999999999</v>
      </c>
      <c r="L72">
        <f t="shared" si="12"/>
        <v>18.2</v>
      </c>
    </row>
    <row r="73" spans="1:12" x14ac:dyDescent="0.25">
      <c r="A73" s="1" t="s">
        <v>15</v>
      </c>
      <c r="B73" s="9" t="s">
        <v>222</v>
      </c>
      <c r="C73" s="3" t="s">
        <v>223</v>
      </c>
      <c r="D73" s="15" t="s">
        <v>224</v>
      </c>
      <c r="F73" s="5">
        <f t="shared" si="8"/>
        <v>88.4</v>
      </c>
      <c r="G73" s="6">
        <v>36.4</v>
      </c>
      <c r="H73" s="8">
        <v>52</v>
      </c>
      <c r="I73" s="1">
        <f t="shared" si="9"/>
        <v>10.92</v>
      </c>
      <c r="J73">
        <f t="shared" si="10"/>
        <v>15.6</v>
      </c>
      <c r="K73">
        <f t="shared" si="11"/>
        <v>25.479999999999997</v>
      </c>
      <c r="L73">
        <f t="shared" si="12"/>
        <v>36.4</v>
      </c>
    </row>
    <row r="74" spans="1:12" x14ac:dyDescent="0.25">
      <c r="A74" s="1" t="s">
        <v>15</v>
      </c>
      <c r="B74" s="9" t="s">
        <v>225</v>
      </c>
      <c r="C74" s="3" t="s">
        <v>226</v>
      </c>
      <c r="D74" s="4" t="s">
        <v>227</v>
      </c>
      <c r="F74" s="5">
        <f t="shared" si="8"/>
        <v>33.799999999999997</v>
      </c>
      <c r="G74" s="6">
        <v>18.2</v>
      </c>
      <c r="H74" s="8">
        <v>15.600000000000001</v>
      </c>
      <c r="I74" s="1">
        <f t="shared" si="9"/>
        <v>5.46</v>
      </c>
      <c r="J74">
        <f t="shared" si="10"/>
        <v>4.6800000000000006</v>
      </c>
      <c r="K74">
        <f t="shared" si="11"/>
        <v>12.739999999999998</v>
      </c>
      <c r="L74">
        <f t="shared" si="12"/>
        <v>10.92</v>
      </c>
    </row>
    <row r="75" spans="1:12" x14ac:dyDescent="0.25">
      <c r="A75" s="1" t="s">
        <v>15</v>
      </c>
      <c r="B75" s="9" t="s">
        <v>228</v>
      </c>
      <c r="C75" s="3" t="s">
        <v>229</v>
      </c>
      <c r="D75" s="13" t="s">
        <v>230</v>
      </c>
      <c r="F75" s="5">
        <f t="shared" si="8"/>
        <v>33.799999999999997</v>
      </c>
      <c r="G75" s="6">
        <v>18.2</v>
      </c>
      <c r="H75" s="8">
        <v>15.600000000000001</v>
      </c>
      <c r="I75" s="1">
        <f t="shared" si="9"/>
        <v>5.46</v>
      </c>
      <c r="J75">
        <f t="shared" si="10"/>
        <v>4.6800000000000006</v>
      </c>
      <c r="K75">
        <f t="shared" si="11"/>
        <v>12.739999999999998</v>
      </c>
      <c r="L75">
        <f t="shared" si="12"/>
        <v>10.92</v>
      </c>
    </row>
    <row r="76" spans="1:12" x14ac:dyDescent="0.25">
      <c r="A76" s="1" t="s">
        <v>15</v>
      </c>
      <c r="B76" s="9" t="s">
        <v>231</v>
      </c>
      <c r="C76" s="3" t="s">
        <v>232</v>
      </c>
      <c r="D76" s="13" t="s">
        <v>233</v>
      </c>
      <c r="F76" s="5">
        <f t="shared" si="8"/>
        <v>59.8</v>
      </c>
      <c r="G76" s="6">
        <v>23.400000000000002</v>
      </c>
      <c r="H76" s="8">
        <v>36.4</v>
      </c>
      <c r="I76" s="1">
        <f t="shared" si="9"/>
        <v>7.0200000000000005</v>
      </c>
      <c r="J76">
        <f t="shared" si="10"/>
        <v>10.92</v>
      </c>
      <c r="K76">
        <f t="shared" si="11"/>
        <v>16.38</v>
      </c>
      <c r="L76">
        <f t="shared" si="12"/>
        <v>25.479999999999997</v>
      </c>
    </row>
    <row r="77" spans="1:12" x14ac:dyDescent="0.25">
      <c r="A77" s="1" t="s">
        <v>15</v>
      </c>
      <c r="B77" s="9" t="s">
        <v>234</v>
      </c>
      <c r="C77" s="3" t="s">
        <v>235</v>
      </c>
      <c r="D77" s="13" t="s">
        <v>236</v>
      </c>
      <c r="F77" s="5">
        <f t="shared" si="8"/>
        <v>59.8</v>
      </c>
      <c r="G77" s="6">
        <v>23.400000000000002</v>
      </c>
      <c r="H77" s="8">
        <v>36.4</v>
      </c>
      <c r="I77" s="1">
        <f t="shared" si="9"/>
        <v>7.0200000000000005</v>
      </c>
      <c r="J77">
        <f t="shared" si="10"/>
        <v>10.92</v>
      </c>
      <c r="K77">
        <f t="shared" si="11"/>
        <v>16.38</v>
      </c>
      <c r="L77">
        <f t="shared" si="12"/>
        <v>25.479999999999997</v>
      </c>
    </row>
    <row r="78" spans="1:12" ht="30" x14ac:dyDescent="0.25">
      <c r="A78" s="1" t="s">
        <v>15</v>
      </c>
      <c r="B78" s="9" t="s">
        <v>237</v>
      </c>
      <c r="C78" s="3" t="s">
        <v>238</v>
      </c>
      <c r="D78" s="13" t="s">
        <v>239</v>
      </c>
      <c r="F78" s="5">
        <f t="shared" si="8"/>
        <v>59.8</v>
      </c>
      <c r="G78" s="6">
        <v>23.400000000000002</v>
      </c>
      <c r="H78" s="8">
        <v>36.4</v>
      </c>
      <c r="I78" s="1">
        <f t="shared" si="9"/>
        <v>7.0200000000000005</v>
      </c>
      <c r="J78">
        <f t="shared" si="10"/>
        <v>10.92</v>
      </c>
      <c r="K78">
        <f t="shared" si="11"/>
        <v>16.38</v>
      </c>
      <c r="L78">
        <f t="shared" si="12"/>
        <v>25.479999999999997</v>
      </c>
    </row>
    <row r="79" spans="1:12" x14ac:dyDescent="0.25">
      <c r="A79" s="1" t="s">
        <v>15</v>
      </c>
      <c r="B79" s="9" t="s">
        <v>240</v>
      </c>
      <c r="C79" s="3" t="s">
        <v>241</v>
      </c>
      <c r="D79" s="15" t="s">
        <v>242</v>
      </c>
      <c r="F79" s="5">
        <f t="shared" si="8"/>
        <v>59.8</v>
      </c>
      <c r="G79" s="6">
        <v>23.400000000000002</v>
      </c>
      <c r="H79" s="8">
        <v>36.4</v>
      </c>
      <c r="I79" s="1">
        <f t="shared" si="9"/>
        <v>7.0200000000000005</v>
      </c>
      <c r="J79">
        <f t="shared" si="10"/>
        <v>10.92</v>
      </c>
      <c r="K79">
        <f t="shared" si="11"/>
        <v>16.38</v>
      </c>
      <c r="L79">
        <f t="shared" si="12"/>
        <v>25.479999999999997</v>
      </c>
    </row>
    <row r="80" spans="1:12" x14ac:dyDescent="0.25">
      <c r="A80" s="1" t="s">
        <v>15</v>
      </c>
      <c r="B80" s="9" t="s">
        <v>243</v>
      </c>
      <c r="C80" s="16" t="s">
        <v>244</v>
      </c>
      <c r="D80" s="15" t="s">
        <v>245</v>
      </c>
      <c r="F80" s="5">
        <f t="shared" si="8"/>
        <v>59.8</v>
      </c>
      <c r="G80" s="6">
        <v>23.400000000000002</v>
      </c>
      <c r="H80" s="8">
        <v>36.4</v>
      </c>
      <c r="I80" s="1">
        <f t="shared" si="9"/>
        <v>7.0200000000000005</v>
      </c>
      <c r="J80">
        <f t="shared" si="10"/>
        <v>10.92</v>
      </c>
      <c r="K80">
        <f t="shared" si="11"/>
        <v>16.38</v>
      </c>
      <c r="L80">
        <f t="shared" si="12"/>
        <v>25.479999999999997</v>
      </c>
    </row>
    <row r="81" spans="1:12" x14ac:dyDescent="0.25">
      <c r="A81" s="1" t="s">
        <v>15</v>
      </c>
      <c r="B81" s="15" t="s">
        <v>246</v>
      </c>
      <c r="C81" s="16" t="s">
        <v>247</v>
      </c>
      <c r="D81" s="15" t="s">
        <v>248</v>
      </c>
      <c r="F81" s="17">
        <f t="shared" si="8"/>
        <v>59.8</v>
      </c>
      <c r="G81" s="6">
        <v>23.400000000000002</v>
      </c>
      <c r="H81" s="8">
        <v>36.4</v>
      </c>
      <c r="I81" s="1">
        <f t="shared" si="9"/>
        <v>7.0200000000000005</v>
      </c>
      <c r="J81">
        <f t="shared" si="10"/>
        <v>10.92</v>
      </c>
      <c r="K81">
        <f t="shared" si="11"/>
        <v>16.38</v>
      </c>
      <c r="L81">
        <f t="shared" si="12"/>
        <v>25.479999999999997</v>
      </c>
    </row>
    <row r="82" spans="1:12" x14ac:dyDescent="0.25">
      <c r="A82" s="1" t="s">
        <v>15</v>
      </c>
      <c r="B82" s="9" t="s">
        <v>249</v>
      </c>
      <c r="C82" s="16" t="s">
        <v>250</v>
      </c>
      <c r="D82" s="15" t="s">
        <v>251</v>
      </c>
      <c r="F82" s="5">
        <f t="shared" si="8"/>
        <v>59.8</v>
      </c>
      <c r="G82" s="6">
        <v>23.400000000000002</v>
      </c>
      <c r="H82" s="8">
        <v>36.4</v>
      </c>
      <c r="I82" s="1">
        <f t="shared" si="9"/>
        <v>7.0200000000000005</v>
      </c>
      <c r="J82">
        <f t="shared" si="10"/>
        <v>10.92</v>
      </c>
      <c r="K82">
        <f t="shared" si="11"/>
        <v>16.38</v>
      </c>
      <c r="L82">
        <f t="shared" si="12"/>
        <v>25.479999999999997</v>
      </c>
    </row>
    <row r="83" spans="1:12" x14ac:dyDescent="0.25">
      <c r="A83" s="1" t="s">
        <v>15</v>
      </c>
      <c r="B83" s="9" t="s">
        <v>252</v>
      </c>
      <c r="C83" s="16" t="s">
        <v>253</v>
      </c>
      <c r="D83" s="15" t="s">
        <v>254</v>
      </c>
      <c r="F83" s="5">
        <f t="shared" si="8"/>
        <v>59.8</v>
      </c>
      <c r="G83" s="6">
        <v>23.400000000000002</v>
      </c>
      <c r="H83" s="8">
        <v>36.4</v>
      </c>
      <c r="I83" s="1">
        <f t="shared" si="9"/>
        <v>7.0200000000000005</v>
      </c>
      <c r="J83">
        <f t="shared" si="10"/>
        <v>10.92</v>
      </c>
      <c r="K83">
        <f t="shared" si="11"/>
        <v>16.38</v>
      </c>
      <c r="L83">
        <f t="shared" si="12"/>
        <v>25.479999999999997</v>
      </c>
    </row>
    <row r="84" spans="1:12" x14ac:dyDescent="0.25">
      <c r="A84" s="1" t="s">
        <v>15</v>
      </c>
      <c r="B84" s="9" t="s">
        <v>255</v>
      </c>
      <c r="C84" s="16" t="s">
        <v>256</v>
      </c>
      <c r="D84" s="15" t="s">
        <v>257</v>
      </c>
      <c r="F84" s="5">
        <f t="shared" si="8"/>
        <v>59.8</v>
      </c>
      <c r="G84" s="6">
        <v>23.400000000000002</v>
      </c>
      <c r="H84" s="8">
        <v>36.4</v>
      </c>
      <c r="I84" s="1">
        <f t="shared" si="9"/>
        <v>7.0200000000000005</v>
      </c>
      <c r="J84">
        <f t="shared" si="10"/>
        <v>10.92</v>
      </c>
      <c r="K84">
        <f t="shared" si="11"/>
        <v>16.38</v>
      </c>
      <c r="L84">
        <f t="shared" si="12"/>
        <v>25.479999999999997</v>
      </c>
    </row>
    <row r="85" spans="1:12" x14ac:dyDescent="0.25">
      <c r="A85" s="1" t="s">
        <v>15</v>
      </c>
      <c r="B85" s="9" t="s">
        <v>258</v>
      </c>
      <c r="C85" s="16" t="s">
        <v>259</v>
      </c>
      <c r="D85" s="15" t="s">
        <v>260</v>
      </c>
      <c r="F85" s="5">
        <f t="shared" si="8"/>
        <v>59.8</v>
      </c>
      <c r="G85" s="6">
        <v>23.400000000000002</v>
      </c>
      <c r="H85" s="8">
        <v>36.4</v>
      </c>
      <c r="I85" s="1">
        <f t="shared" si="9"/>
        <v>7.0200000000000005</v>
      </c>
      <c r="J85">
        <f t="shared" si="10"/>
        <v>10.92</v>
      </c>
      <c r="K85">
        <f t="shared" si="11"/>
        <v>16.38</v>
      </c>
      <c r="L85">
        <f t="shared" si="12"/>
        <v>25.479999999999997</v>
      </c>
    </row>
    <row r="86" spans="1:12" x14ac:dyDescent="0.25">
      <c r="A86" s="1" t="s">
        <v>15</v>
      </c>
      <c r="B86" s="9" t="s">
        <v>261</v>
      </c>
      <c r="C86" s="16" t="s">
        <v>262</v>
      </c>
      <c r="D86" s="15" t="s">
        <v>263</v>
      </c>
      <c r="F86" s="5">
        <f t="shared" si="8"/>
        <v>59.8</v>
      </c>
      <c r="G86" s="6">
        <v>23.400000000000002</v>
      </c>
      <c r="H86" s="8">
        <v>36.4</v>
      </c>
      <c r="I86" s="1">
        <f t="shared" si="9"/>
        <v>7.0200000000000005</v>
      </c>
      <c r="J86">
        <f t="shared" si="10"/>
        <v>10.92</v>
      </c>
      <c r="K86">
        <f t="shared" si="11"/>
        <v>16.38</v>
      </c>
      <c r="L86">
        <f t="shared" si="12"/>
        <v>25.479999999999997</v>
      </c>
    </row>
    <row r="87" spans="1:12" ht="30" x14ac:dyDescent="0.25">
      <c r="A87" s="1" t="s">
        <v>15</v>
      </c>
      <c r="B87" s="9" t="s">
        <v>264</v>
      </c>
      <c r="C87" s="16" t="s">
        <v>265</v>
      </c>
      <c r="D87" s="15" t="s">
        <v>266</v>
      </c>
      <c r="F87" s="5">
        <f t="shared" si="8"/>
        <v>59.8</v>
      </c>
      <c r="G87" s="6">
        <v>23.400000000000002</v>
      </c>
      <c r="H87" s="8">
        <v>36.4</v>
      </c>
      <c r="I87" s="1">
        <f t="shared" si="9"/>
        <v>7.0200000000000005</v>
      </c>
      <c r="J87">
        <f t="shared" si="10"/>
        <v>10.92</v>
      </c>
      <c r="K87">
        <f t="shared" si="11"/>
        <v>16.38</v>
      </c>
      <c r="L87">
        <f t="shared" si="12"/>
        <v>25.479999999999997</v>
      </c>
    </row>
    <row r="88" spans="1:12" x14ac:dyDescent="0.25">
      <c r="A88" s="1" t="s">
        <v>15</v>
      </c>
      <c r="B88" s="9" t="s">
        <v>267</v>
      </c>
      <c r="C88" s="16" t="s">
        <v>268</v>
      </c>
      <c r="D88" s="4" t="s">
        <v>269</v>
      </c>
      <c r="F88" s="5">
        <f>G88+H88</f>
        <v>59.8</v>
      </c>
      <c r="G88" s="6">
        <v>23.400000000000002</v>
      </c>
      <c r="H88" s="8">
        <v>36.4</v>
      </c>
      <c r="I88" s="1">
        <f t="shared" si="9"/>
        <v>7.0200000000000005</v>
      </c>
      <c r="J88">
        <f t="shared" si="10"/>
        <v>10.92</v>
      </c>
      <c r="K88">
        <f t="shared" si="11"/>
        <v>16.38</v>
      </c>
      <c r="L88">
        <f t="shared" si="12"/>
        <v>25.479999999999997</v>
      </c>
    </row>
    <row r="89" spans="1:12" x14ac:dyDescent="0.25">
      <c r="A89" s="1" t="s">
        <v>15</v>
      </c>
      <c r="B89" s="9" t="s">
        <v>270</v>
      </c>
      <c r="C89" s="16" t="s">
        <v>271</v>
      </c>
      <c r="D89" s="4" t="s">
        <v>272</v>
      </c>
      <c r="F89" s="5">
        <f t="shared" si="8"/>
        <v>59.8</v>
      </c>
      <c r="G89" s="6">
        <v>23.400000000000002</v>
      </c>
      <c r="H89" s="8">
        <v>36.4</v>
      </c>
      <c r="I89" s="1">
        <f t="shared" si="9"/>
        <v>7.0200000000000005</v>
      </c>
      <c r="J89">
        <f t="shared" si="10"/>
        <v>10.92</v>
      </c>
      <c r="K89">
        <f t="shared" si="11"/>
        <v>16.38</v>
      </c>
      <c r="L89">
        <f t="shared" si="12"/>
        <v>25.479999999999997</v>
      </c>
    </row>
    <row r="90" spans="1:12" x14ac:dyDescent="0.25">
      <c r="A90" s="1" t="s">
        <v>15</v>
      </c>
      <c r="B90" s="9" t="s">
        <v>273</v>
      </c>
      <c r="C90" s="16" t="s">
        <v>274</v>
      </c>
      <c r="D90" s="13" t="s">
        <v>275</v>
      </c>
      <c r="F90" s="5">
        <f t="shared" si="8"/>
        <v>59.8</v>
      </c>
      <c r="G90" s="6">
        <v>23.400000000000002</v>
      </c>
      <c r="H90" s="8">
        <v>36.4</v>
      </c>
      <c r="I90" s="1">
        <f t="shared" si="9"/>
        <v>7.0200000000000005</v>
      </c>
      <c r="J90">
        <f t="shared" si="10"/>
        <v>10.92</v>
      </c>
      <c r="K90">
        <f t="shared" si="11"/>
        <v>16.38</v>
      </c>
      <c r="L90">
        <f t="shared" si="12"/>
        <v>25.479999999999997</v>
      </c>
    </row>
    <row r="91" spans="1:12" x14ac:dyDescent="0.25">
      <c r="A91" s="1" t="s">
        <v>15</v>
      </c>
      <c r="B91" s="18" t="s">
        <v>276</v>
      </c>
      <c r="C91" s="19" t="s">
        <v>277</v>
      </c>
      <c r="D91" s="20" t="s">
        <v>278</v>
      </c>
      <c r="F91" s="21">
        <f t="shared" si="8"/>
        <v>59.8</v>
      </c>
      <c r="G91" s="22">
        <v>23.400000000000002</v>
      </c>
      <c r="H91" s="23">
        <v>36.4</v>
      </c>
      <c r="I91" s="1">
        <f t="shared" si="9"/>
        <v>7.0200000000000005</v>
      </c>
      <c r="J91">
        <f t="shared" si="10"/>
        <v>10.92</v>
      </c>
      <c r="K91">
        <f t="shared" si="11"/>
        <v>16.38</v>
      </c>
      <c r="L91">
        <f t="shared" si="12"/>
        <v>25.479999999999997</v>
      </c>
    </row>
    <row r="92" spans="1:12" ht="30" x14ac:dyDescent="0.25">
      <c r="A92" s="1" t="s">
        <v>15</v>
      </c>
      <c r="B92" s="9" t="s">
        <v>279</v>
      </c>
      <c r="C92" s="16" t="s">
        <v>280</v>
      </c>
      <c r="D92" s="13" t="s">
        <v>281</v>
      </c>
      <c r="F92" s="5">
        <f t="shared" si="8"/>
        <v>59.8</v>
      </c>
      <c r="G92" s="6">
        <v>23.400000000000002</v>
      </c>
      <c r="H92" s="8">
        <v>36.4</v>
      </c>
      <c r="I92" s="1">
        <f t="shared" si="9"/>
        <v>7.0200000000000005</v>
      </c>
      <c r="J92">
        <f t="shared" si="10"/>
        <v>10.92</v>
      </c>
      <c r="K92">
        <f t="shared" si="11"/>
        <v>16.38</v>
      </c>
      <c r="L92">
        <f t="shared" si="12"/>
        <v>25.479999999999997</v>
      </c>
    </row>
    <row r="93" spans="1:12" ht="30" x14ac:dyDescent="0.25">
      <c r="A93" s="1" t="s">
        <v>15</v>
      </c>
      <c r="B93" s="9" t="s">
        <v>282</v>
      </c>
      <c r="C93" s="16" t="s">
        <v>283</v>
      </c>
      <c r="D93" s="15" t="s">
        <v>284</v>
      </c>
      <c r="F93" s="5">
        <f t="shared" si="8"/>
        <v>59.8</v>
      </c>
      <c r="G93" s="6">
        <v>23.400000000000002</v>
      </c>
      <c r="H93" s="8">
        <v>36.4</v>
      </c>
      <c r="I93" s="1">
        <f t="shared" si="9"/>
        <v>7.0200000000000005</v>
      </c>
      <c r="J93">
        <f t="shared" si="10"/>
        <v>10.92</v>
      </c>
      <c r="K93">
        <f t="shared" si="11"/>
        <v>16.38</v>
      </c>
      <c r="L93">
        <f t="shared" si="12"/>
        <v>25.479999999999997</v>
      </c>
    </row>
    <row r="94" spans="1:12" x14ac:dyDescent="0.25">
      <c r="A94" s="1" t="s">
        <v>15</v>
      </c>
      <c r="B94" s="18" t="s">
        <v>285</v>
      </c>
      <c r="C94" s="19" t="s">
        <v>286</v>
      </c>
      <c r="D94" s="24" t="s">
        <v>287</v>
      </c>
      <c r="F94" s="21">
        <f t="shared" si="8"/>
        <v>59.8</v>
      </c>
      <c r="G94" s="22">
        <v>23.400000000000002</v>
      </c>
      <c r="H94" s="23">
        <v>36.4</v>
      </c>
      <c r="I94" s="1">
        <f t="shared" si="9"/>
        <v>7.0200000000000005</v>
      </c>
      <c r="J94">
        <f t="shared" si="10"/>
        <v>10.92</v>
      </c>
      <c r="K94">
        <f t="shared" si="11"/>
        <v>16.38</v>
      </c>
      <c r="L94">
        <f t="shared" si="12"/>
        <v>25.479999999999997</v>
      </c>
    </row>
    <row r="95" spans="1:12" x14ac:dyDescent="0.25">
      <c r="A95" s="1" t="s">
        <v>15</v>
      </c>
      <c r="B95" s="9" t="s">
        <v>288</v>
      </c>
      <c r="C95" s="16" t="s">
        <v>289</v>
      </c>
      <c r="D95" s="15" t="s">
        <v>290</v>
      </c>
      <c r="F95" s="5">
        <f t="shared" si="8"/>
        <v>59.8</v>
      </c>
      <c r="G95" s="6">
        <v>23.400000000000002</v>
      </c>
      <c r="H95" s="8">
        <v>36.4</v>
      </c>
      <c r="I95" s="1">
        <f t="shared" si="9"/>
        <v>7.0200000000000005</v>
      </c>
      <c r="J95">
        <f t="shared" si="10"/>
        <v>10.92</v>
      </c>
      <c r="K95">
        <f t="shared" si="11"/>
        <v>16.38</v>
      </c>
      <c r="L95">
        <f t="shared" si="12"/>
        <v>25.479999999999997</v>
      </c>
    </row>
    <row r="96" spans="1:12" x14ac:dyDescent="0.25">
      <c r="A96" s="1" t="s">
        <v>15</v>
      </c>
      <c r="B96" s="9" t="s">
        <v>291</v>
      </c>
      <c r="C96" s="16" t="s">
        <v>292</v>
      </c>
      <c r="D96" s="15" t="s">
        <v>293</v>
      </c>
      <c r="F96" s="5">
        <f>G96+H96</f>
        <v>58.5</v>
      </c>
      <c r="G96" s="6">
        <v>13</v>
      </c>
      <c r="H96" s="8">
        <v>45.5</v>
      </c>
      <c r="I96" s="1">
        <f t="shared" si="9"/>
        <v>3.9</v>
      </c>
      <c r="J96">
        <f t="shared" si="10"/>
        <v>13.65</v>
      </c>
      <c r="K96">
        <f t="shared" si="11"/>
        <v>9.1</v>
      </c>
      <c r="L96">
        <f t="shared" si="12"/>
        <v>31.849999999999998</v>
      </c>
    </row>
    <row r="97" spans="1:12" x14ac:dyDescent="0.25">
      <c r="A97" s="1" t="s">
        <v>15</v>
      </c>
      <c r="B97" s="9" t="s">
        <v>294</v>
      </c>
      <c r="C97" s="16" t="s">
        <v>295</v>
      </c>
      <c r="D97" s="15" t="s">
        <v>296</v>
      </c>
      <c r="F97" s="5">
        <f>G97+H97</f>
        <v>58.5</v>
      </c>
      <c r="G97" s="6">
        <v>13</v>
      </c>
      <c r="H97" s="8">
        <v>45.5</v>
      </c>
      <c r="I97" s="1">
        <f t="shared" si="9"/>
        <v>3.9</v>
      </c>
      <c r="J97">
        <f t="shared" si="10"/>
        <v>13.65</v>
      </c>
      <c r="K97">
        <f t="shared" si="11"/>
        <v>9.1</v>
      </c>
      <c r="L97">
        <f t="shared" si="12"/>
        <v>31.849999999999998</v>
      </c>
    </row>
    <row r="98" spans="1:12" x14ac:dyDescent="0.25">
      <c r="A98" s="1" t="s">
        <v>15</v>
      </c>
      <c r="B98" s="9" t="s">
        <v>297</v>
      </c>
      <c r="C98" s="16" t="s">
        <v>298</v>
      </c>
      <c r="D98" s="15" t="s">
        <v>299</v>
      </c>
      <c r="F98" s="5">
        <f>G98+H98</f>
        <v>26</v>
      </c>
      <c r="G98" s="6">
        <v>26</v>
      </c>
      <c r="H98" s="8">
        <v>0</v>
      </c>
      <c r="I98" s="1">
        <f t="shared" si="9"/>
        <v>7.8</v>
      </c>
      <c r="J98">
        <f t="shared" si="10"/>
        <v>0</v>
      </c>
      <c r="K98">
        <f t="shared" si="11"/>
        <v>18.2</v>
      </c>
      <c r="L98">
        <f t="shared" si="12"/>
        <v>0</v>
      </c>
    </row>
    <row r="99" spans="1:12" x14ac:dyDescent="0.25">
      <c r="A99" s="1" t="s">
        <v>15</v>
      </c>
      <c r="B99" s="9" t="s">
        <v>300</v>
      </c>
      <c r="C99" s="16" t="s">
        <v>301</v>
      </c>
      <c r="D99" s="15" t="s">
        <v>302</v>
      </c>
      <c r="F99" s="5">
        <f t="shared" ref="F99:F115" si="13">G99+H99</f>
        <v>39</v>
      </c>
      <c r="G99" s="10">
        <v>13</v>
      </c>
      <c r="H99" s="7">
        <v>26</v>
      </c>
      <c r="I99" s="1">
        <f t="shared" si="9"/>
        <v>3.9</v>
      </c>
      <c r="J99">
        <f t="shared" si="10"/>
        <v>7.8</v>
      </c>
      <c r="K99">
        <f t="shared" si="11"/>
        <v>9.1</v>
      </c>
      <c r="L99">
        <f t="shared" si="12"/>
        <v>18.2</v>
      </c>
    </row>
    <row r="100" spans="1:12" ht="30" x14ac:dyDescent="0.25">
      <c r="A100" s="1" t="s">
        <v>15</v>
      </c>
      <c r="B100" s="9" t="s">
        <v>303</v>
      </c>
      <c r="C100" s="16" t="s">
        <v>304</v>
      </c>
      <c r="D100" s="15" t="s">
        <v>305</v>
      </c>
      <c r="F100" s="5">
        <f t="shared" si="13"/>
        <v>29.9</v>
      </c>
      <c r="G100" s="6">
        <v>11.700000000000001</v>
      </c>
      <c r="H100" s="8">
        <v>18.2</v>
      </c>
      <c r="I100" s="1">
        <f t="shared" si="9"/>
        <v>3.5100000000000002</v>
      </c>
      <c r="J100">
        <f t="shared" si="10"/>
        <v>5.46</v>
      </c>
      <c r="K100">
        <f t="shared" si="11"/>
        <v>8.19</v>
      </c>
      <c r="L100">
        <f t="shared" si="12"/>
        <v>12.739999999999998</v>
      </c>
    </row>
    <row r="101" spans="1:12" x14ac:dyDescent="0.25">
      <c r="A101" s="1" t="s">
        <v>15</v>
      </c>
      <c r="B101" s="9" t="s">
        <v>306</v>
      </c>
      <c r="C101" s="16" t="s">
        <v>307</v>
      </c>
      <c r="D101" s="15" t="s">
        <v>308</v>
      </c>
      <c r="F101" s="5">
        <f t="shared" si="13"/>
        <v>29.9</v>
      </c>
      <c r="G101" s="6">
        <v>11.700000000000001</v>
      </c>
      <c r="H101" s="8">
        <v>18.2</v>
      </c>
      <c r="I101" s="1">
        <f t="shared" si="9"/>
        <v>3.5100000000000002</v>
      </c>
      <c r="J101">
        <f t="shared" si="10"/>
        <v>5.46</v>
      </c>
      <c r="K101">
        <f t="shared" si="11"/>
        <v>8.19</v>
      </c>
      <c r="L101">
        <f t="shared" si="12"/>
        <v>12.739999999999998</v>
      </c>
    </row>
    <row r="102" spans="1:12" x14ac:dyDescent="0.25">
      <c r="A102" s="1" t="s">
        <v>15</v>
      </c>
      <c r="B102" s="9" t="s">
        <v>309</v>
      </c>
      <c r="C102" s="16" t="s">
        <v>310</v>
      </c>
      <c r="D102" s="15" t="s">
        <v>311</v>
      </c>
      <c r="F102" s="5">
        <f t="shared" si="13"/>
        <v>29.9</v>
      </c>
      <c r="G102" s="6">
        <v>11.700000000000001</v>
      </c>
      <c r="H102" s="8">
        <v>18.2</v>
      </c>
      <c r="I102" s="1">
        <f t="shared" si="9"/>
        <v>3.5100000000000002</v>
      </c>
      <c r="J102">
        <f t="shared" si="10"/>
        <v>5.46</v>
      </c>
      <c r="K102">
        <f t="shared" si="11"/>
        <v>8.19</v>
      </c>
      <c r="L102">
        <f t="shared" si="12"/>
        <v>12.739999999999998</v>
      </c>
    </row>
    <row r="103" spans="1:12" x14ac:dyDescent="0.25">
      <c r="A103" s="1" t="s">
        <v>15</v>
      </c>
      <c r="B103" s="9" t="s">
        <v>312</v>
      </c>
      <c r="C103" s="16" t="s">
        <v>313</v>
      </c>
      <c r="D103" s="15" t="s">
        <v>314</v>
      </c>
      <c r="F103" s="5">
        <f t="shared" si="13"/>
        <v>29.9</v>
      </c>
      <c r="G103" s="6">
        <v>11.700000000000001</v>
      </c>
      <c r="H103" s="8">
        <v>18.2</v>
      </c>
      <c r="I103" s="1">
        <f t="shared" si="9"/>
        <v>3.5100000000000002</v>
      </c>
      <c r="J103">
        <f t="shared" si="10"/>
        <v>5.46</v>
      </c>
      <c r="K103">
        <f t="shared" si="11"/>
        <v>8.19</v>
      </c>
      <c r="L103">
        <f t="shared" si="12"/>
        <v>12.739999999999998</v>
      </c>
    </row>
    <row r="104" spans="1:12" x14ac:dyDescent="0.25">
      <c r="A104" s="1" t="s">
        <v>15</v>
      </c>
      <c r="B104" s="9" t="s">
        <v>315</v>
      </c>
      <c r="C104" s="16" t="s">
        <v>316</v>
      </c>
      <c r="D104" s="15" t="s">
        <v>317</v>
      </c>
      <c r="F104" s="5">
        <f t="shared" si="13"/>
        <v>29.9</v>
      </c>
      <c r="G104" s="6">
        <v>11.700000000000001</v>
      </c>
      <c r="H104" s="8">
        <v>18.2</v>
      </c>
      <c r="I104" s="1">
        <f t="shared" si="9"/>
        <v>3.5100000000000002</v>
      </c>
      <c r="J104">
        <f t="shared" si="10"/>
        <v>5.46</v>
      </c>
      <c r="K104">
        <f t="shared" si="11"/>
        <v>8.19</v>
      </c>
      <c r="L104">
        <f t="shared" si="12"/>
        <v>12.739999999999998</v>
      </c>
    </row>
    <row r="105" spans="1:12" x14ac:dyDescent="0.25">
      <c r="A105" s="1" t="s">
        <v>15</v>
      </c>
      <c r="B105" s="9" t="s">
        <v>318</v>
      </c>
      <c r="C105" s="16" t="s">
        <v>319</v>
      </c>
      <c r="D105" s="15" t="s">
        <v>320</v>
      </c>
      <c r="F105" s="5">
        <f t="shared" si="13"/>
        <v>29.9</v>
      </c>
      <c r="G105" s="6">
        <v>11.700000000000001</v>
      </c>
      <c r="H105" s="8">
        <v>18.2</v>
      </c>
      <c r="I105" s="1">
        <f t="shared" si="9"/>
        <v>3.5100000000000002</v>
      </c>
      <c r="J105">
        <f t="shared" si="10"/>
        <v>5.46</v>
      </c>
      <c r="K105">
        <f t="shared" si="11"/>
        <v>8.19</v>
      </c>
      <c r="L105">
        <f t="shared" si="12"/>
        <v>12.739999999999998</v>
      </c>
    </row>
    <row r="106" spans="1:12" x14ac:dyDescent="0.25">
      <c r="A106" s="1" t="s">
        <v>15</v>
      </c>
      <c r="B106" s="9" t="s">
        <v>321</v>
      </c>
      <c r="C106" s="16" t="s">
        <v>322</v>
      </c>
      <c r="D106" s="15" t="s">
        <v>323</v>
      </c>
      <c r="F106" s="5">
        <f t="shared" si="13"/>
        <v>26</v>
      </c>
      <c r="G106" s="10">
        <v>26</v>
      </c>
      <c r="H106" s="7">
        <v>0</v>
      </c>
      <c r="I106" s="1">
        <f t="shared" si="9"/>
        <v>7.8</v>
      </c>
      <c r="J106">
        <f t="shared" si="10"/>
        <v>0</v>
      </c>
      <c r="K106">
        <f t="shared" si="11"/>
        <v>18.2</v>
      </c>
      <c r="L106">
        <f t="shared" si="12"/>
        <v>0</v>
      </c>
    </row>
    <row r="107" spans="1:12" x14ac:dyDescent="0.25">
      <c r="A107" s="1" t="s">
        <v>15</v>
      </c>
      <c r="B107" s="9" t="s">
        <v>324</v>
      </c>
      <c r="C107" s="16" t="s">
        <v>325</v>
      </c>
      <c r="D107" s="15" t="s">
        <v>326</v>
      </c>
      <c r="F107" s="5">
        <f t="shared" si="13"/>
        <v>9.1</v>
      </c>
      <c r="G107" s="10">
        <v>2.6</v>
      </c>
      <c r="H107" s="7">
        <v>6.5</v>
      </c>
      <c r="I107" s="1">
        <f t="shared" si="9"/>
        <v>0.78</v>
      </c>
      <c r="J107">
        <f t="shared" si="10"/>
        <v>1.95</v>
      </c>
      <c r="K107">
        <f t="shared" si="11"/>
        <v>1.8199999999999998</v>
      </c>
      <c r="L107">
        <f t="shared" si="12"/>
        <v>4.55</v>
      </c>
    </row>
    <row r="108" spans="1:12" x14ac:dyDescent="0.25">
      <c r="A108" s="1" t="s">
        <v>15</v>
      </c>
      <c r="B108" s="9" t="s">
        <v>327</v>
      </c>
      <c r="C108" s="16" t="s">
        <v>328</v>
      </c>
      <c r="D108" s="15" t="s">
        <v>329</v>
      </c>
      <c r="F108" s="5">
        <f t="shared" si="13"/>
        <v>9.1</v>
      </c>
      <c r="G108" s="10">
        <v>2.6</v>
      </c>
      <c r="H108" s="7">
        <v>6.5</v>
      </c>
      <c r="I108" s="1">
        <f t="shared" si="9"/>
        <v>0.78</v>
      </c>
      <c r="J108">
        <f t="shared" si="10"/>
        <v>1.95</v>
      </c>
      <c r="K108">
        <f t="shared" si="11"/>
        <v>1.8199999999999998</v>
      </c>
      <c r="L108">
        <f t="shared" si="12"/>
        <v>4.55</v>
      </c>
    </row>
    <row r="109" spans="1:12" x14ac:dyDescent="0.25">
      <c r="A109" s="1" t="s">
        <v>15</v>
      </c>
      <c r="B109" s="9" t="s">
        <v>330</v>
      </c>
      <c r="C109" s="16" t="s">
        <v>331</v>
      </c>
      <c r="D109" s="15" t="s">
        <v>332</v>
      </c>
      <c r="F109" s="5">
        <f t="shared" si="13"/>
        <v>9.1</v>
      </c>
      <c r="G109" s="10">
        <v>2.6</v>
      </c>
      <c r="H109" s="7">
        <v>6.5</v>
      </c>
      <c r="I109" s="1">
        <f t="shared" si="9"/>
        <v>0.78</v>
      </c>
      <c r="J109">
        <f t="shared" si="10"/>
        <v>1.95</v>
      </c>
      <c r="K109">
        <f t="shared" si="11"/>
        <v>1.8199999999999998</v>
      </c>
      <c r="L109">
        <f t="shared" si="12"/>
        <v>4.55</v>
      </c>
    </row>
    <row r="110" spans="1:12" x14ac:dyDescent="0.25">
      <c r="A110" s="1" t="s">
        <v>15</v>
      </c>
      <c r="B110" s="9" t="s">
        <v>333</v>
      </c>
      <c r="C110" s="16" t="s">
        <v>334</v>
      </c>
      <c r="D110" s="15" t="s">
        <v>335</v>
      </c>
      <c r="F110" s="5">
        <f t="shared" si="13"/>
        <v>9.1</v>
      </c>
      <c r="G110" s="10">
        <v>2.6</v>
      </c>
      <c r="H110" s="7">
        <v>6.5</v>
      </c>
      <c r="I110" s="1">
        <f t="shared" si="9"/>
        <v>0.78</v>
      </c>
      <c r="J110">
        <f t="shared" si="10"/>
        <v>1.95</v>
      </c>
      <c r="K110">
        <f t="shared" si="11"/>
        <v>1.8199999999999998</v>
      </c>
      <c r="L110">
        <f t="shared" si="12"/>
        <v>4.55</v>
      </c>
    </row>
    <row r="111" spans="1:12" x14ac:dyDescent="0.25">
      <c r="A111" s="1" t="s">
        <v>15</v>
      </c>
      <c r="B111" s="9" t="s">
        <v>336</v>
      </c>
      <c r="C111" s="16" t="s">
        <v>337</v>
      </c>
      <c r="D111" s="15" t="s">
        <v>338</v>
      </c>
      <c r="F111" s="5">
        <f t="shared" si="13"/>
        <v>19.5</v>
      </c>
      <c r="G111" s="10">
        <v>6.5</v>
      </c>
      <c r="H111" s="7">
        <v>13</v>
      </c>
      <c r="I111" s="1">
        <f t="shared" si="9"/>
        <v>1.95</v>
      </c>
      <c r="J111">
        <f t="shared" si="10"/>
        <v>3.9</v>
      </c>
      <c r="K111">
        <f t="shared" si="11"/>
        <v>4.55</v>
      </c>
      <c r="L111">
        <f t="shared" si="12"/>
        <v>9.1</v>
      </c>
    </row>
    <row r="112" spans="1:12" ht="30" x14ac:dyDescent="0.25">
      <c r="A112" s="1" t="s">
        <v>15</v>
      </c>
      <c r="B112" s="9" t="s">
        <v>339</v>
      </c>
      <c r="C112" s="16" t="s">
        <v>340</v>
      </c>
      <c r="D112" s="15" t="s">
        <v>341</v>
      </c>
      <c r="F112" s="5">
        <f t="shared" si="13"/>
        <v>19.5</v>
      </c>
      <c r="G112" s="10">
        <v>6.5</v>
      </c>
      <c r="H112" s="7">
        <v>13</v>
      </c>
      <c r="I112" s="1">
        <f t="shared" si="9"/>
        <v>1.95</v>
      </c>
      <c r="J112">
        <f t="shared" si="10"/>
        <v>3.9</v>
      </c>
      <c r="K112">
        <f t="shared" si="11"/>
        <v>4.55</v>
      </c>
      <c r="L112">
        <f t="shared" si="12"/>
        <v>9.1</v>
      </c>
    </row>
    <row r="113" spans="1:12" x14ac:dyDescent="0.25">
      <c r="A113" s="1" t="s">
        <v>15</v>
      </c>
      <c r="B113" s="9" t="s">
        <v>342</v>
      </c>
      <c r="C113" s="16" t="s">
        <v>343</v>
      </c>
      <c r="D113" s="15" t="s">
        <v>344</v>
      </c>
      <c r="F113" s="5"/>
      <c r="G113" s="10"/>
      <c r="H113" s="7"/>
      <c r="I113" s="1">
        <f t="shared" si="9"/>
        <v>0</v>
      </c>
      <c r="J113">
        <f t="shared" si="10"/>
        <v>0</v>
      </c>
      <c r="K113">
        <f t="shared" si="11"/>
        <v>0</v>
      </c>
      <c r="L113">
        <f t="shared" si="12"/>
        <v>0</v>
      </c>
    </row>
    <row r="114" spans="1:12" ht="30" x14ac:dyDescent="0.25">
      <c r="A114" s="1" t="s">
        <v>15</v>
      </c>
      <c r="B114" s="9" t="s">
        <v>345</v>
      </c>
      <c r="C114" s="16" t="s">
        <v>346</v>
      </c>
      <c r="D114" s="15" t="s">
        <v>347</v>
      </c>
      <c r="F114" s="5"/>
      <c r="G114" s="10"/>
      <c r="H114" s="7"/>
      <c r="I114" s="1">
        <f t="shared" si="9"/>
        <v>0</v>
      </c>
      <c r="J114">
        <f t="shared" si="10"/>
        <v>0</v>
      </c>
      <c r="K114">
        <f t="shared" si="11"/>
        <v>0</v>
      </c>
      <c r="L114">
        <f t="shared" si="12"/>
        <v>0</v>
      </c>
    </row>
    <row r="115" spans="1:12" x14ac:dyDescent="0.25">
      <c r="A115" s="1" t="s">
        <v>15</v>
      </c>
      <c r="B115" s="9" t="s">
        <v>348</v>
      </c>
      <c r="C115" s="16" t="s">
        <v>349</v>
      </c>
      <c r="D115" s="15" t="s">
        <v>350</v>
      </c>
      <c r="F115" s="5">
        <f t="shared" si="13"/>
        <v>19.5</v>
      </c>
      <c r="G115" s="10">
        <v>6.5</v>
      </c>
      <c r="H115" s="7">
        <v>13</v>
      </c>
      <c r="I115" s="1">
        <f t="shared" si="9"/>
        <v>1.95</v>
      </c>
      <c r="J115">
        <f t="shared" si="10"/>
        <v>3.9</v>
      </c>
      <c r="K115">
        <f t="shared" si="11"/>
        <v>4.55</v>
      </c>
      <c r="L115">
        <f t="shared" si="12"/>
        <v>9.1</v>
      </c>
    </row>
    <row r="116" spans="1:12" x14ac:dyDescent="0.25">
      <c r="A116" s="1" t="s">
        <v>15</v>
      </c>
      <c r="B116" s="9" t="s">
        <v>351</v>
      </c>
      <c r="C116" s="3" t="s">
        <v>352</v>
      </c>
      <c r="D116" s="15" t="s">
        <v>353</v>
      </c>
      <c r="F116" s="5">
        <f>G116+H116</f>
        <v>13</v>
      </c>
      <c r="G116" s="6">
        <v>2.6</v>
      </c>
      <c r="H116" s="8">
        <v>10.4</v>
      </c>
      <c r="I116" s="1">
        <f t="shared" si="9"/>
        <v>0.78</v>
      </c>
      <c r="J116">
        <f t="shared" si="10"/>
        <v>3.12</v>
      </c>
      <c r="K116">
        <f t="shared" si="11"/>
        <v>1.8199999999999998</v>
      </c>
      <c r="L116">
        <f t="shared" si="12"/>
        <v>7.2799999999999994</v>
      </c>
    </row>
    <row r="117" spans="1:12" x14ac:dyDescent="0.25">
      <c r="A117" s="1" t="s">
        <v>15</v>
      </c>
      <c r="B117" s="9" t="s">
        <v>354</v>
      </c>
      <c r="C117" s="3" t="s">
        <v>355</v>
      </c>
      <c r="D117" s="4" t="s">
        <v>356</v>
      </c>
      <c r="F117" s="5">
        <f>G117+H117</f>
        <v>65</v>
      </c>
      <c r="G117" s="10">
        <v>13</v>
      </c>
      <c r="H117" s="7">
        <v>52</v>
      </c>
      <c r="I117" s="1">
        <f t="shared" si="9"/>
        <v>3.9</v>
      </c>
      <c r="J117">
        <f t="shared" si="10"/>
        <v>15.6</v>
      </c>
      <c r="K117">
        <f t="shared" si="11"/>
        <v>9.1</v>
      </c>
      <c r="L117">
        <f t="shared" si="12"/>
        <v>36.4</v>
      </c>
    </row>
    <row r="118" spans="1:12" x14ac:dyDescent="0.25">
      <c r="A118" s="1" t="s">
        <v>15</v>
      </c>
      <c r="B118" s="9" t="s">
        <v>357</v>
      </c>
      <c r="C118" s="3" t="s">
        <v>358</v>
      </c>
      <c r="D118" s="15" t="s">
        <v>359</v>
      </c>
      <c r="F118" s="5">
        <f>G118+H118</f>
        <v>19.5</v>
      </c>
      <c r="G118" s="10">
        <v>6.5</v>
      </c>
      <c r="H118" s="7">
        <v>13</v>
      </c>
      <c r="I118" s="1">
        <f t="shared" si="9"/>
        <v>1.95</v>
      </c>
      <c r="J118">
        <f t="shared" si="10"/>
        <v>3.9</v>
      </c>
      <c r="K118">
        <f t="shared" si="11"/>
        <v>4.55</v>
      </c>
      <c r="L118">
        <f t="shared" si="12"/>
        <v>9.1</v>
      </c>
    </row>
    <row r="119" spans="1:12" x14ac:dyDescent="0.25">
      <c r="A119" s="1" t="s">
        <v>15</v>
      </c>
      <c r="B119" s="9" t="s">
        <v>360</v>
      </c>
      <c r="C119" s="3" t="s">
        <v>361</v>
      </c>
      <c r="D119" s="15" t="s">
        <v>362</v>
      </c>
      <c r="F119" s="5">
        <f t="shared" ref="F119:F126" si="14">G119+H119</f>
        <v>19.5</v>
      </c>
      <c r="G119" s="10">
        <v>6.5</v>
      </c>
      <c r="H119" s="7">
        <v>13</v>
      </c>
      <c r="I119" s="1">
        <f t="shared" si="9"/>
        <v>1.95</v>
      </c>
      <c r="J119">
        <f t="shared" si="10"/>
        <v>3.9</v>
      </c>
      <c r="K119">
        <f t="shared" si="11"/>
        <v>4.55</v>
      </c>
      <c r="L119">
        <f t="shared" si="12"/>
        <v>9.1</v>
      </c>
    </row>
    <row r="120" spans="1:12" x14ac:dyDescent="0.25">
      <c r="A120" s="1" t="s">
        <v>15</v>
      </c>
      <c r="B120" s="9" t="s">
        <v>363</v>
      </c>
      <c r="C120" s="3" t="s">
        <v>364</v>
      </c>
      <c r="D120" s="15" t="s">
        <v>365</v>
      </c>
      <c r="F120" s="5">
        <f t="shared" si="14"/>
        <v>19.5</v>
      </c>
      <c r="G120" s="10">
        <v>6.5</v>
      </c>
      <c r="H120" s="7">
        <v>13</v>
      </c>
      <c r="I120" s="1">
        <f t="shared" si="9"/>
        <v>1.95</v>
      </c>
      <c r="J120">
        <f t="shared" si="10"/>
        <v>3.9</v>
      </c>
      <c r="K120">
        <f t="shared" si="11"/>
        <v>4.55</v>
      </c>
      <c r="L120">
        <f t="shared" si="12"/>
        <v>9.1</v>
      </c>
    </row>
    <row r="121" spans="1:12" x14ac:dyDescent="0.25">
      <c r="A121" s="1" t="s">
        <v>15</v>
      </c>
      <c r="B121" s="9" t="s">
        <v>366</v>
      </c>
      <c r="C121" s="3" t="s">
        <v>367</v>
      </c>
      <c r="D121" s="15" t="s">
        <v>368</v>
      </c>
      <c r="F121" s="5">
        <f t="shared" si="14"/>
        <v>19.5</v>
      </c>
      <c r="G121" s="10">
        <v>6.5</v>
      </c>
      <c r="H121" s="7">
        <v>13</v>
      </c>
      <c r="I121" s="1">
        <f t="shared" si="9"/>
        <v>1.95</v>
      </c>
      <c r="J121">
        <f t="shared" si="10"/>
        <v>3.9</v>
      </c>
      <c r="K121">
        <f t="shared" si="11"/>
        <v>4.55</v>
      </c>
      <c r="L121">
        <f t="shared" si="12"/>
        <v>9.1</v>
      </c>
    </row>
    <row r="122" spans="1:12" x14ac:dyDescent="0.25">
      <c r="A122" s="1" t="s">
        <v>15</v>
      </c>
      <c r="B122" s="9" t="s">
        <v>369</v>
      </c>
      <c r="C122" s="3" t="s">
        <v>370</v>
      </c>
      <c r="D122" s="15" t="s">
        <v>371</v>
      </c>
      <c r="F122" s="5">
        <f t="shared" si="14"/>
        <v>19.5</v>
      </c>
      <c r="G122" s="10">
        <v>6.5</v>
      </c>
      <c r="H122" s="7">
        <v>13</v>
      </c>
      <c r="I122" s="1">
        <f t="shared" si="9"/>
        <v>1.95</v>
      </c>
      <c r="J122">
        <f t="shared" si="10"/>
        <v>3.9</v>
      </c>
      <c r="K122">
        <f t="shared" si="11"/>
        <v>4.55</v>
      </c>
      <c r="L122">
        <f t="shared" si="12"/>
        <v>9.1</v>
      </c>
    </row>
    <row r="123" spans="1:12" x14ac:dyDescent="0.25">
      <c r="A123" s="1" t="s">
        <v>15</v>
      </c>
      <c r="B123" s="9" t="s">
        <v>372</v>
      </c>
      <c r="C123" s="3" t="s">
        <v>373</v>
      </c>
      <c r="D123" s="15" t="s">
        <v>374</v>
      </c>
      <c r="F123" s="5">
        <f t="shared" si="14"/>
        <v>19.5</v>
      </c>
      <c r="G123" s="10">
        <v>6.5</v>
      </c>
      <c r="H123" s="7">
        <v>13</v>
      </c>
      <c r="I123" s="1">
        <f t="shared" si="9"/>
        <v>1.95</v>
      </c>
      <c r="J123">
        <f t="shared" si="10"/>
        <v>3.9</v>
      </c>
      <c r="K123">
        <f t="shared" si="11"/>
        <v>4.55</v>
      </c>
      <c r="L123">
        <f t="shared" si="12"/>
        <v>9.1</v>
      </c>
    </row>
    <row r="124" spans="1:12" x14ac:dyDescent="0.25">
      <c r="A124" s="1" t="s">
        <v>15</v>
      </c>
      <c r="B124" s="9" t="s">
        <v>375</v>
      </c>
      <c r="C124" s="3" t="s">
        <v>376</v>
      </c>
      <c r="D124" s="15" t="s">
        <v>377</v>
      </c>
      <c r="F124" s="5">
        <f t="shared" si="14"/>
        <v>19.5</v>
      </c>
      <c r="G124" s="10">
        <v>6.5</v>
      </c>
      <c r="H124" s="7">
        <v>13</v>
      </c>
      <c r="I124" s="1">
        <f t="shared" si="9"/>
        <v>1.95</v>
      </c>
      <c r="J124">
        <f t="shared" si="10"/>
        <v>3.9</v>
      </c>
      <c r="K124">
        <f t="shared" si="11"/>
        <v>4.55</v>
      </c>
      <c r="L124">
        <f t="shared" si="12"/>
        <v>9.1</v>
      </c>
    </row>
    <row r="125" spans="1:12" x14ac:dyDescent="0.25">
      <c r="A125" s="1" t="s">
        <v>15</v>
      </c>
      <c r="B125" s="9" t="s">
        <v>378</v>
      </c>
      <c r="C125" s="3" t="s">
        <v>379</v>
      </c>
      <c r="D125" s="4" t="s">
        <v>380</v>
      </c>
      <c r="F125" s="5">
        <f t="shared" si="14"/>
        <v>65</v>
      </c>
      <c r="G125" s="6">
        <v>13</v>
      </c>
      <c r="H125" s="8">
        <v>52</v>
      </c>
      <c r="I125" s="1">
        <f t="shared" si="9"/>
        <v>3.9</v>
      </c>
      <c r="J125">
        <f t="shared" si="10"/>
        <v>15.6</v>
      </c>
      <c r="K125">
        <f t="shared" si="11"/>
        <v>9.1</v>
      </c>
      <c r="L125">
        <f t="shared" si="12"/>
        <v>36.4</v>
      </c>
    </row>
    <row r="126" spans="1:12" x14ac:dyDescent="0.25">
      <c r="A126" s="1" t="s">
        <v>15</v>
      </c>
      <c r="B126" s="9" t="s">
        <v>381</v>
      </c>
      <c r="C126" s="3" t="s">
        <v>382</v>
      </c>
      <c r="D126" s="4" t="s">
        <v>383</v>
      </c>
      <c r="F126" s="5">
        <f t="shared" si="14"/>
        <v>40.299999999999997</v>
      </c>
      <c r="G126" s="6">
        <v>7.8000000000000007</v>
      </c>
      <c r="H126" s="8">
        <v>32.5</v>
      </c>
      <c r="I126" s="1">
        <f t="shared" si="9"/>
        <v>2.3400000000000003</v>
      </c>
      <c r="J126">
        <f t="shared" si="10"/>
        <v>9.75</v>
      </c>
      <c r="K126">
        <f t="shared" si="11"/>
        <v>5.46</v>
      </c>
      <c r="L126">
        <f t="shared" si="12"/>
        <v>22.75</v>
      </c>
    </row>
    <row r="127" spans="1:12" x14ac:dyDescent="0.25">
      <c r="A127" s="1" t="s">
        <v>15</v>
      </c>
      <c r="B127" s="9" t="s">
        <v>384</v>
      </c>
      <c r="C127" s="3" t="s">
        <v>385</v>
      </c>
      <c r="D127" s="15" t="s">
        <v>386</v>
      </c>
      <c r="F127" s="5">
        <f>G127+H127</f>
        <v>104</v>
      </c>
      <c r="G127" s="6">
        <v>13</v>
      </c>
      <c r="H127" s="8">
        <v>91</v>
      </c>
      <c r="I127" s="1">
        <f t="shared" si="9"/>
        <v>3.9</v>
      </c>
      <c r="J127">
        <f t="shared" si="10"/>
        <v>27.3</v>
      </c>
      <c r="K127">
        <f t="shared" si="11"/>
        <v>9.1</v>
      </c>
      <c r="L127">
        <f t="shared" si="12"/>
        <v>63.699999999999996</v>
      </c>
    </row>
    <row r="128" spans="1:12" x14ac:dyDescent="0.25">
      <c r="A128" s="1" t="s">
        <v>15</v>
      </c>
      <c r="B128" s="9" t="s">
        <v>387</v>
      </c>
      <c r="C128" s="3" t="s">
        <v>388</v>
      </c>
      <c r="D128" s="13" t="s">
        <v>389</v>
      </c>
      <c r="F128" s="5">
        <f t="shared" ref="F128:F137" si="15">G128+H128</f>
        <v>65</v>
      </c>
      <c r="G128" s="6">
        <v>13</v>
      </c>
      <c r="H128" s="8">
        <v>52</v>
      </c>
      <c r="I128" s="1">
        <f t="shared" si="9"/>
        <v>3.9</v>
      </c>
      <c r="J128">
        <f t="shared" si="10"/>
        <v>15.6</v>
      </c>
      <c r="K128">
        <f t="shared" si="11"/>
        <v>9.1</v>
      </c>
      <c r="L128">
        <f t="shared" si="12"/>
        <v>36.4</v>
      </c>
    </row>
    <row r="129" spans="1:12" x14ac:dyDescent="0.25">
      <c r="A129" s="1" t="s">
        <v>15</v>
      </c>
      <c r="B129" s="9" t="s">
        <v>390</v>
      </c>
      <c r="C129" s="3" t="s">
        <v>391</v>
      </c>
      <c r="D129" s="13" t="s">
        <v>392</v>
      </c>
      <c r="F129" s="5">
        <f t="shared" si="15"/>
        <v>65</v>
      </c>
      <c r="G129" s="6">
        <v>13</v>
      </c>
      <c r="H129" s="8">
        <v>52</v>
      </c>
      <c r="I129" s="1">
        <f t="shared" si="9"/>
        <v>3.9</v>
      </c>
      <c r="J129">
        <f t="shared" si="10"/>
        <v>15.6</v>
      </c>
      <c r="K129">
        <f t="shared" si="11"/>
        <v>9.1</v>
      </c>
      <c r="L129">
        <f t="shared" si="12"/>
        <v>36.4</v>
      </c>
    </row>
    <row r="130" spans="1:12" x14ac:dyDescent="0.25">
      <c r="A130" s="1" t="s">
        <v>15</v>
      </c>
      <c r="B130" s="9" t="s">
        <v>393</v>
      </c>
      <c r="C130" s="3" t="s">
        <v>394</v>
      </c>
      <c r="D130" s="15" t="s">
        <v>395</v>
      </c>
      <c r="F130" s="5">
        <f>G130+H130</f>
        <v>104</v>
      </c>
      <c r="G130" s="6">
        <v>13</v>
      </c>
      <c r="H130" s="8">
        <v>91</v>
      </c>
      <c r="I130" s="1">
        <f t="shared" si="9"/>
        <v>3.9</v>
      </c>
      <c r="J130">
        <f t="shared" si="10"/>
        <v>27.3</v>
      </c>
      <c r="K130">
        <f t="shared" si="11"/>
        <v>9.1</v>
      </c>
      <c r="L130">
        <f t="shared" si="12"/>
        <v>63.699999999999996</v>
      </c>
    </row>
    <row r="131" spans="1:12" x14ac:dyDescent="0.25">
      <c r="A131" s="1" t="s">
        <v>15</v>
      </c>
      <c r="B131" s="9" t="s">
        <v>396</v>
      </c>
      <c r="C131" s="3" t="s">
        <v>397</v>
      </c>
      <c r="D131" s="15" t="s">
        <v>398</v>
      </c>
      <c r="F131" s="5">
        <f>G131+H131</f>
        <v>65</v>
      </c>
      <c r="G131" s="6">
        <v>13</v>
      </c>
      <c r="H131" s="8">
        <v>52</v>
      </c>
      <c r="I131" s="1">
        <f t="shared" si="9"/>
        <v>3.9</v>
      </c>
      <c r="J131">
        <f t="shared" si="10"/>
        <v>15.6</v>
      </c>
      <c r="K131">
        <f t="shared" si="11"/>
        <v>9.1</v>
      </c>
      <c r="L131">
        <f t="shared" si="12"/>
        <v>36.4</v>
      </c>
    </row>
    <row r="132" spans="1:12" x14ac:dyDescent="0.25">
      <c r="A132" s="1" t="s">
        <v>15</v>
      </c>
      <c r="B132" s="9" t="s">
        <v>399</v>
      </c>
      <c r="C132" s="3" t="s">
        <v>400</v>
      </c>
      <c r="D132" s="13" t="s">
        <v>401</v>
      </c>
      <c r="F132" s="5">
        <f>G132+H132</f>
        <v>130</v>
      </c>
      <c r="G132" s="6">
        <v>13</v>
      </c>
      <c r="H132" s="8">
        <v>117</v>
      </c>
      <c r="I132" s="1">
        <f t="shared" ref="I132:I195" si="16">G132*0.3</f>
        <v>3.9</v>
      </c>
      <c r="J132">
        <f t="shared" ref="J132:J195" si="17">H132*0.3</f>
        <v>35.1</v>
      </c>
      <c r="K132">
        <f t="shared" ref="K132:K195" si="18">G132*0.7</f>
        <v>9.1</v>
      </c>
      <c r="L132">
        <f t="shared" ref="L132:L195" si="19">H132*0.7</f>
        <v>81.899999999999991</v>
      </c>
    </row>
    <row r="133" spans="1:12" x14ac:dyDescent="0.25">
      <c r="A133" s="1" t="s">
        <v>15</v>
      </c>
      <c r="B133" s="9" t="s">
        <v>402</v>
      </c>
      <c r="C133" s="3" t="s">
        <v>403</v>
      </c>
      <c r="D133" s="13" t="s">
        <v>404</v>
      </c>
      <c r="F133" s="5">
        <f t="shared" si="15"/>
        <v>65</v>
      </c>
      <c r="G133" s="6">
        <v>13</v>
      </c>
      <c r="H133" s="8">
        <v>52</v>
      </c>
      <c r="I133" s="1">
        <f t="shared" si="16"/>
        <v>3.9</v>
      </c>
      <c r="J133">
        <f t="shared" si="17"/>
        <v>15.6</v>
      </c>
      <c r="K133">
        <f t="shared" si="18"/>
        <v>9.1</v>
      </c>
      <c r="L133">
        <f t="shared" si="19"/>
        <v>36.4</v>
      </c>
    </row>
    <row r="134" spans="1:12" x14ac:dyDescent="0.25">
      <c r="A134" s="1" t="s">
        <v>15</v>
      </c>
      <c r="B134" s="9" t="s">
        <v>405</v>
      </c>
      <c r="C134" s="3" t="s">
        <v>406</v>
      </c>
      <c r="D134" s="13" t="s">
        <v>407</v>
      </c>
      <c r="F134" s="5">
        <f t="shared" si="15"/>
        <v>65</v>
      </c>
      <c r="G134" s="6">
        <v>13</v>
      </c>
      <c r="H134" s="8">
        <v>52</v>
      </c>
      <c r="I134" s="1">
        <f t="shared" si="16"/>
        <v>3.9</v>
      </c>
      <c r="J134">
        <f t="shared" si="17"/>
        <v>15.6</v>
      </c>
      <c r="K134">
        <f t="shared" si="18"/>
        <v>9.1</v>
      </c>
      <c r="L134">
        <f t="shared" si="19"/>
        <v>36.4</v>
      </c>
    </row>
    <row r="135" spans="1:12" x14ac:dyDescent="0.25">
      <c r="A135" s="1" t="s">
        <v>15</v>
      </c>
      <c r="B135" s="9" t="s">
        <v>408</v>
      </c>
      <c r="C135" s="3" t="s">
        <v>409</v>
      </c>
      <c r="D135" s="13" t="s">
        <v>410</v>
      </c>
      <c r="F135" s="5">
        <f t="shared" si="15"/>
        <v>130</v>
      </c>
      <c r="G135" s="6">
        <v>13</v>
      </c>
      <c r="H135" s="8">
        <v>117</v>
      </c>
      <c r="I135" s="1">
        <f t="shared" si="16"/>
        <v>3.9</v>
      </c>
      <c r="J135">
        <f t="shared" si="17"/>
        <v>35.1</v>
      </c>
      <c r="K135">
        <f t="shared" si="18"/>
        <v>9.1</v>
      </c>
      <c r="L135">
        <f t="shared" si="19"/>
        <v>81.899999999999991</v>
      </c>
    </row>
    <row r="136" spans="1:12" x14ac:dyDescent="0.25">
      <c r="A136" s="1" t="s">
        <v>15</v>
      </c>
      <c r="B136" s="9" t="s">
        <v>411</v>
      </c>
      <c r="C136" s="3" t="s">
        <v>412</v>
      </c>
      <c r="D136" s="15" t="s">
        <v>413</v>
      </c>
      <c r="F136" s="5">
        <f t="shared" si="15"/>
        <v>65</v>
      </c>
      <c r="G136" s="6">
        <v>13</v>
      </c>
      <c r="H136" s="8">
        <v>52</v>
      </c>
      <c r="I136" s="1">
        <f t="shared" si="16"/>
        <v>3.9</v>
      </c>
      <c r="J136">
        <f t="shared" si="17"/>
        <v>15.6</v>
      </c>
      <c r="K136">
        <f t="shared" si="18"/>
        <v>9.1</v>
      </c>
      <c r="L136">
        <f t="shared" si="19"/>
        <v>36.4</v>
      </c>
    </row>
    <row r="137" spans="1:12" x14ac:dyDescent="0.25">
      <c r="A137" s="1" t="s">
        <v>15</v>
      </c>
      <c r="B137" s="9" t="s">
        <v>414</v>
      </c>
      <c r="C137" s="3" t="s">
        <v>415</v>
      </c>
      <c r="D137" s="15" t="s">
        <v>416</v>
      </c>
      <c r="F137" s="5">
        <f t="shared" si="15"/>
        <v>65</v>
      </c>
      <c r="G137" s="6">
        <v>13</v>
      </c>
      <c r="H137" s="8">
        <v>52</v>
      </c>
      <c r="I137" s="1">
        <f t="shared" si="16"/>
        <v>3.9</v>
      </c>
      <c r="J137">
        <f t="shared" si="17"/>
        <v>15.6</v>
      </c>
      <c r="K137">
        <f t="shared" si="18"/>
        <v>9.1</v>
      </c>
      <c r="L137">
        <f t="shared" si="19"/>
        <v>36.4</v>
      </c>
    </row>
    <row r="138" spans="1:12" x14ac:dyDescent="0.25">
      <c r="A138" s="1" t="s">
        <v>15</v>
      </c>
      <c r="B138" s="9" t="s">
        <v>417</v>
      </c>
      <c r="C138" s="3" t="s">
        <v>418</v>
      </c>
      <c r="D138" s="13" t="s">
        <v>419</v>
      </c>
      <c r="F138" s="5">
        <f>G138+H138</f>
        <v>130</v>
      </c>
      <c r="G138" s="6">
        <v>13</v>
      </c>
      <c r="H138" s="8">
        <v>117</v>
      </c>
      <c r="I138" s="1">
        <f t="shared" si="16"/>
        <v>3.9</v>
      </c>
      <c r="J138">
        <f t="shared" si="17"/>
        <v>35.1</v>
      </c>
      <c r="K138">
        <f t="shared" si="18"/>
        <v>9.1</v>
      </c>
      <c r="L138">
        <f t="shared" si="19"/>
        <v>81.899999999999991</v>
      </c>
    </row>
    <row r="139" spans="1:12" x14ac:dyDescent="0.25">
      <c r="A139" s="1" t="s">
        <v>15</v>
      </c>
      <c r="B139" s="9" t="s">
        <v>420</v>
      </c>
      <c r="C139" s="3" t="s">
        <v>421</v>
      </c>
      <c r="D139" s="15" t="s">
        <v>422</v>
      </c>
      <c r="F139" s="5">
        <f>G139+H139</f>
        <v>117</v>
      </c>
      <c r="G139" s="6">
        <v>13</v>
      </c>
      <c r="H139" s="8">
        <v>104</v>
      </c>
      <c r="I139" s="1">
        <f t="shared" si="16"/>
        <v>3.9</v>
      </c>
      <c r="J139">
        <f t="shared" si="17"/>
        <v>31.2</v>
      </c>
      <c r="K139">
        <f t="shared" si="18"/>
        <v>9.1</v>
      </c>
      <c r="L139">
        <f t="shared" si="19"/>
        <v>72.8</v>
      </c>
    </row>
    <row r="140" spans="1:12" ht="30" x14ac:dyDescent="0.25">
      <c r="A140" s="1" t="s">
        <v>15</v>
      </c>
      <c r="B140" s="9" t="s">
        <v>423</v>
      </c>
      <c r="C140" s="3" t="s">
        <v>424</v>
      </c>
      <c r="D140" s="13" t="s">
        <v>425</v>
      </c>
      <c r="F140" s="5">
        <f>G140+H140</f>
        <v>130</v>
      </c>
      <c r="G140" s="6">
        <v>13</v>
      </c>
      <c r="H140" s="8">
        <v>117</v>
      </c>
      <c r="I140" s="1">
        <f t="shared" si="16"/>
        <v>3.9</v>
      </c>
      <c r="J140">
        <f t="shared" si="17"/>
        <v>35.1</v>
      </c>
      <c r="K140">
        <f t="shared" si="18"/>
        <v>9.1</v>
      </c>
      <c r="L140">
        <f t="shared" si="19"/>
        <v>81.899999999999991</v>
      </c>
    </row>
    <row r="141" spans="1:12" x14ac:dyDescent="0.25">
      <c r="A141" s="1" t="s">
        <v>15</v>
      </c>
      <c r="B141" s="9" t="s">
        <v>426</v>
      </c>
      <c r="C141" s="3" t="s">
        <v>427</v>
      </c>
      <c r="D141" s="13" t="s">
        <v>428</v>
      </c>
      <c r="F141" s="5">
        <f>G141+H141</f>
        <v>26</v>
      </c>
      <c r="G141" s="11">
        <v>6.5</v>
      </c>
      <c r="H141" s="14">
        <v>19.5</v>
      </c>
      <c r="I141" s="1">
        <f t="shared" si="16"/>
        <v>1.95</v>
      </c>
      <c r="J141">
        <f t="shared" si="17"/>
        <v>5.85</v>
      </c>
      <c r="K141">
        <f t="shared" si="18"/>
        <v>4.55</v>
      </c>
      <c r="L141">
        <f t="shared" si="19"/>
        <v>13.649999999999999</v>
      </c>
    </row>
    <row r="142" spans="1:12" x14ac:dyDescent="0.25">
      <c r="A142" s="1" t="s">
        <v>15</v>
      </c>
      <c r="B142" s="9" t="s">
        <v>429</v>
      </c>
      <c r="C142" s="3" t="s">
        <v>430</v>
      </c>
      <c r="D142" s="13" t="s">
        <v>431</v>
      </c>
      <c r="F142" s="5">
        <f>G142+H142</f>
        <v>32.5</v>
      </c>
      <c r="G142" s="10">
        <v>6.5</v>
      </c>
      <c r="H142" s="7">
        <v>26</v>
      </c>
      <c r="I142" s="1">
        <f t="shared" si="16"/>
        <v>1.95</v>
      </c>
      <c r="J142">
        <f t="shared" si="17"/>
        <v>7.8</v>
      </c>
      <c r="K142">
        <f t="shared" si="18"/>
        <v>4.55</v>
      </c>
      <c r="L142">
        <f t="shared" si="19"/>
        <v>18.2</v>
      </c>
    </row>
    <row r="143" spans="1:12" x14ac:dyDescent="0.25">
      <c r="A143" s="1" t="s">
        <v>15</v>
      </c>
      <c r="B143" s="9" t="s">
        <v>432</v>
      </c>
      <c r="C143" s="3" t="s">
        <v>433</v>
      </c>
      <c r="D143" s="13" t="s">
        <v>434</v>
      </c>
      <c r="F143" s="5">
        <f t="shared" ref="F143:F146" si="20">G143+H143</f>
        <v>32.5</v>
      </c>
      <c r="G143" s="10">
        <v>6.5</v>
      </c>
      <c r="H143" s="7">
        <v>26</v>
      </c>
      <c r="I143" s="1">
        <f t="shared" si="16"/>
        <v>1.95</v>
      </c>
      <c r="J143">
        <f t="shared" si="17"/>
        <v>7.8</v>
      </c>
      <c r="K143">
        <f t="shared" si="18"/>
        <v>4.55</v>
      </c>
      <c r="L143">
        <f t="shared" si="19"/>
        <v>18.2</v>
      </c>
    </row>
    <row r="144" spans="1:12" x14ac:dyDescent="0.25">
      <c r="A144" s="1" t="s">
        <v>15</v>
      </c>
      <c r="B144" s="9" t="s">
        <v>435</v>
      </c>
      <c r="C144" s="3" t="s">
        <v>436</v>
      </c>
      <c r="D144" s="13" t="s">
        <v>437</v>
      </c>
      <c r="F144" s="5">
        <f t="shared" si="20"/>
        <v>32.5</v>
      </c>
      <c r="G144" s="10">
        <v>6.5</v>
      </c>
      <c r="H144" s="7">
        <v>26</v>
      </c>
      <c r="I144" s="1">
        <f t="shared" si="16"/>
        <v>1.95</v>
      </c>
      <c r="J144">
        <f t="shared" si="17"/>
        <v>7.8</v>
      </c>
      <c r="K144">
        <f t="shared" si="18"/>
        <v>4.55</v>
      </c>
      <c r="L144">
        <f t="shared" si="19"/>
        <v>18.2</v>
      </c>
    </row>
    <row r="145" spans="1:12" x14ac:dyDescent="0.25">
      <c r="A145" s="1" t="s">
        <v>15</v>
      </c>
      <c r="B145" s="9" t="s">
        <v>438</v>
      </c>
      <c r="C145" s="3" t="s">
        <v>439</v>
      </c>
      <c r="D145" s="13" t="s">
        <v>440</v>
      </c>
      <c r="F145" s="5">
        <f t="shared" si="20"/>
        <v>32.5</v>
      </c>
      <c r="G145" s="10">
        <v>6.5</v>
      </c>
      <c r="H145" s="7">
        <v>26</v>
      </c>
      <c r="I145" s="1">
        <f t="shared" si="16"/>
        <v>1.95</v>
      </c>
      <c r="J145">
        <f t="shared" si="17"/>
        <v>7.8</v>
      </c>
      <c r="K145">
        <f t="shared" si="18"/>
        <v>4.55</v>
      </c>
      <c r="L145">
        <f t="shared" si="19"/>
        <v>18.2</v>
      </c>
    </row>
    <row r="146" spans="1:12" x14ac:dyDescent="0.25">
      <c r="A146" s="1" t="s">
        <v>15</v>
      </c>
      <c r="B146" s="9" t="s">
        <v>441</v>
      </c>
      <c r="C146" s="3" t="s">
        <v>442</v>
      </c>
      <c r="D146" s="13" t="s">
        <v>443</v>
      </c>
      <c r="F146" s="5">
        <f t="shared" si="20"/>
        <v>32.5</v>
      </c>
      <c r="G146" s="10">
        <v>6.5</v>
      </c>
      <c r="H146" s="7">
        <v>26</v>
      </c>
      <c r="I146" s="1">
        <f t="shared" si="16"/>
        <v>1.95</v>
      </c>
      <c r="J146">
        <f t="shared" si="17"/>
        <v>7.8</v>
      </c>
      <c r="K146">
        <f t="shared" si="18"/>
        <v>4.55</v>
      </c>
      <c r="L146">
        <f t="shared" si="19"/>
        <v>18.2</v>
      </c>
    </row>
    <row r="147" spans="1:12" x14ac:dyDescent="0.25">
      <c r="A147" s="1" t="s">
        <v>15</v>
      </c>
      <c r="B147" s="9" t="s">
        <v>444</v>
      </c>
      <c r="C147" s="3" t="s">
        <v>445</v>
      </c>
      <c r="D147" s="13" t="s">
        <v>446</v>
      </c>
      <c r="F147" s="5"/>
      <c r="G147" s="10"/>
      <c r="H147" s="7"/>
      <c r="I147" s="1">
        <f t="shared" si="16"/>
        <v>0</v>
      </c>
      <c r="J147">
        <f t="shared" si="17"/>
        <v>0</v>
      </c>
      <c r="K147">
        <f t="shared" si="18"/>
        <v>0</v>
      </c>
      <c r="L147">
        <f t="shared" si="19"/>
        <v>0</v>
      </c>
    </row>
    <row r="148" spans="1:12" x14ac:dyDescent="0.25">
      <c r="A148" s="1" t="s">
        <v>15</v>
      </c>
      <c r="B148" s="9" t="s">
        <v>447</v>
      </c>
      <c r="C148" s="3" t="s">
        <v>448</v>
      </c>
      <c r="D148" s="13" t="s">
        <v>449</v>
      </c>
      <c r="F148" s="5"/>
      <c r="G148" s="10"/>
      <c r="H148" s="7"/>
      <c r="I148" s="1">
        <f t="shared" si="16"/>
        <v>0</v>
      </c>
      <c r="J148">
        <f t="shared" si="17"/>
        <v>0</v>
      </c>
      <c r="K148">
        <f t="shared" si="18"/>
        <v>0</v>
      </c>
      <c r="L148">
        <f t="shared" si="19"/>
        <v>0</v>
      </c>
    </row>
    <row r="149" spans="1:12" x14ac:dyDescent="0.25">
      <c r="A149" s="1" t="s">
        <v>15</v>
      </c>
      <c r="B149" s="9" t="s">
        <v>450</v>
      </c>
      <c r="C149" s="3" t="s">
        <v>451</v>
      </c>
      <c r="D149" s="13" t="s">
        <v>452</v>
      </c>
      <c r="F149" s="5"/>
      <c r="G149" s="10"/>
      <c r="H149" s="7"/>
      <c r="I149" s="1">
        <f t="shared" si="16"/>
        <v>0</v>
      </c>
      <c r="J149">
        <f t="shared" si="17"/>
        <v>0</v>
      </c>
      <c r="K149">
        <f t="shared" si="18"/>
        <v>0</v>
      </c>
      <c r="L149">
        <f t="shared" si="19"/>
        <v>0</v>
      </c>
    </row>
    <row r="150" spans="1:12" x14ac:dyDescent="0.25">
      <c r="A150" s="1" t="s">
        <v>15</v>
      </c>
      <c r="B150" s="9" t="s">
        <v>453</v>
      </c>
      <c r="C150" s="3" t="s">
        <v>454</v>
      </c>
      <c r="D150" s="13" t="s">
        <v>455</v>
      </c>
      <c r="F150" s="5"/>
      <c r="G150" s="10"/>
      <c r="H150" s="7"/>
      <c r="I150" s="1">
        <f t="shared" si="16"/>
        <v>0</v>
      </c>
      <c r="J150">
        <f t="shared" si="17"/>
        <v>0</v>
      </c>
      <c r="K150">
        <f t="shared" si="18"/>
        <v>0</v>
      </c>
      <c r="L150">
        <f t="shared" si="19"/>
        <v>0</v>
      </c>
    </row>
    <row r="151" spans="1:12" x14ac:dyDescent="0.25">
      <c r="A151" s="1" t="s">
        <v>15</v>
      </c>
      <c r="B151" s="9" t="s">
        <v>456</v>
      </c>
      <c r="C151" s="3" t="s">
        <v>457</v>
      </c>
      <c r="D151" s="13" t="s">
        <v>458</v>
      </c>
      <c r="F151" s="5"/>
      <c r="G151" s="10"/>
      <c r="H151" s="7"/>
      <c r="I151" s="1">
        <f t="shared" si="16"/>
        <v>0</v>
      </c>
      <c r="J151">
        <f t="shared" si="17"/>
        <v>0</v>
      </c>
      <c r="K151">
        <f t="shared" si="18"/>
        <v>0</v>
      </c>
      <c r="L151">
        <f t="shared" si="19"/>
        <v>0</v>
      </c>
    </row>
    <row r="152" spans="1:12" x14ac:dyDescent="0.25">
      <c r="A152" s="1" t="s">
        <v>15</v>
      </c>
      <c r="B152" s="9" t="s">
        <v>459</v>
      </c>
      <c r="C152" s="3" t="s">
        <v>460</v>
      </c>
      <c r="D152" s="13" t="s">
        <v>461</v>
      </c>
      <c r="F152" s="5">
        <f>G152+H152</f>
        <v>39</v>
      </c>
      <c r="G152" s="10">
        <v>13</v>
      </c>
      <c r="H152" s="7">
        <v>26</v>
      </c>
      <c r="I152" s="1">
        <f t="shared" si="16"/>
        <v>3.9</v>
      </c>
      <c r="J152">
        <f t="shared" si="17"/>
        <v>7.8</v>
      </c>
      <c r="K152">
        <f t="shared" si="18"/>
        <v>9.1</v>
      </c>
      <c r="L152">
        <f t="shared" si="19"/>
        <v>18.2</v>
      </c>
    </row>
    <row r="153" spans="1:12" x14ac:dyDescent="0.25">
      <c r="A153" s="1" t="s">
        <v>15</v>
      </c>
      <c r="B153" s="9" t="s">
        <v>462</v>
      </c>
      <c r="C153" s="16" t="s">
        <v>463</v>
      </c>
      <c r="D153" s="4" t="s">
        <v>464</v>
      </c>
      <c r="F153" s="5">
        <f t="shared" ref="F153:F182" si="21">G153+H153</f>
        <v>78</v>
      </c>
      <c r="G153" s="10">
        <v>78</v>
      </c>
      <c r="H153" s="7">
        <v>0</v>
      </c>
      <c r="I153" s="1">
        <f t="shared" si="16"/>
        <v>23.4</v>
      </c>
      <c r="J153">
        <f t="shared" si="17"/>
        <v>0</v>
      </c>
      <c r="K153">
        <f t="shared" si="18"/>
        <v>54.599999999999994</v>
      </c>
      <c r="L153">
        <f t="shared" si="19"/>
        <v>0</v>
      </c>
    </row>
    <row r="154" spans="1:12" x14ac:dyDescent="0.25">
      <c r="A154" s="1" t="s">
        <v>15</v>
      </c>
      <c r="B154" s="9" t="s">
        <v>465</v>
      </c>
      <c r="C154" s="16" t="s">
        <v>466</v>
      </c>
      <c r="D154" s="4" t="s">
        <v>467</v>
      </c>
      <c r="F154" s="5">
        <f t="shared" si="21"/>
        <v>84.5</v>
      </c>
      <c r="G154" s="10">
        <v>84.5</v>
      </c>
      <c r="H154" s="7">
        <v>0</v>
      </c>
      <c r="I154" s="1">
        <f t="shared" si="16"/>
        <v>25.349999999999998</v>
      </c>
      <c r="J154">
        <f t="shared" si="17"/>
        <v>0</v>
      </c>
      <c r="K154">
        <f t="shared" si="18"/>
        <v>59.15</v>
      </c>
      <c r="L154">
        <f t="shared" si="19"/>
        <v>0</v>
      </c>
    </row>
    <row r="155" spans="1:12" x14ac:dyDescent="0.25">
      <c r="A155" s="1" t="s">
        <v>15</v>
      </c>
      <c r="B155" s="9" t="s">
        <v>468</v>
      </c>
      <c r="C155" s="16" t="s">
        <v>469</v>
      </c>
      <c r="D155" s="4" t="s">
        <v>470</v>
      </c>
      <c r="F155" s="5">
        <f t="shared" si="21"/>
        <v>45.5</v>
      </c>
      <c r="G155" s="10">
        <v>45.5</v>
      </c>
      <c r="H155" s="7">
        <v>0</v>
      </c>
      <c r="I155" s="1">
        <f t="shared" si="16"/>
        <v>13.65</v>
      </c>
      <c r="J155">
        <f t="shared" si="17"/>
        <v>0</v>
      </c>
      <c r="K155">
        <f t="shared" si="18"/>
        <v>31.849999999999998</v>
      </c>
      <c r="L155">
        <f t="shared" si="19"/>
        <v>0</v>
      </c>
    </row>
    <row r="156" spans="1:12" x14ac:dyDescent="0.25">
      <c r="A156" s="1" t="s">
        <v>15</v>
      </c>
      <c r="B156" s="9" t="s">
        <v>471</v>
      </c>
      <c r="C156" s="16" t="s">
        <v>472</v>
      </c>
      <c r="D156" s="4" t="s">
        <v>473</v>
      </c>
      <c r="F156" s="5">
        <f t="shared" si="21"/>
        <v>45.5</v>
      </c>
      <c r="G156" s="10">
        <v>45.5</v>
      </c>
      <c r="H156" s="7">
        <v>0</v>
      </c>
      <c r="I156" s="1">
        <f t="shared" si="16"/>
        <v>13.65</v>
      </c>
      <c r="J156">
        <f t="shared" si="17"/>
        <v>0</v>
      </c>
      <c r="K156">
        <f t="shared" si="18"/>
        <v>31.849999999999998</v>
      </c>
      <c r="L156">
        <f t="shared" si="19"/>
        <v>0</v>
      </c>
    </row>
    <row r="157" spans="1:12" x14ac:dyDescent="0.25">
      <c r="A157" s="1" t="s">
        <v>15</v>
      </c>
      <c r="B157" s="9" t="s">
        <v>474</v>
      </c>
      <c r="C157" s="16" t="s">
        <v>475</v>
      </c>
      <c r="D157" s="4" t="s">
        <v>476</v>
      </c>
      <c r="F157" s="5">
        <f t="shared" si="21"/>
        <v>10.4</v>
      </c>
      <c r="G157" s="10">
        <v>10.4</v>
      </c>
      <c r="H157" s="7">
        <v>0</v>
      </c>
      <c r="I157" s="1">
        <f t="shared" si="16"/>
        <v>3.12</v>
      </c>
      <c r="J157">
        <f t="shared" si="17"/>
        <v>0</v>
      </c>
      <c r="K157">
        <f t="shared" si="18"/>
        <v>7.2799999999999994</v>
      </c>
      <c r="L157">
        <f t="shared" si="19"/>
        <v>0</v>
      </c>
    </row>
    <row r="158" spans="1:12" x14ac:dyDescent="0.25">
      <c r="A158" s="1" t="s">
        <v>15</v>
      </c>
      <c r="B158" s="9" t="s">
        <v>477</v>
      </c>
      <c r="C158" s="16" t="s">
        <v>478</v>
      </c>
      <c r="D158" s="4" t="s">
        <v>479</v>
      </c>
      <c r="F158" s="5">
        <f t="shared" si="21"/>
        <v>7.8000000000000007</v>
      </c>
      <c r="G158" s="10">
        <v>7.8000000000000007</v>
      </c>
      <c r="H158" s="7">
        <v>0</v>
      </c>
      <c r="I158" s="1">
        <f t="shared" si="16"/>
        <v>2.3400000000000003</v>
      </c>
      <c r="J158">
        <f t="shared" si="17"/>
        <v>0</v>
      </c>
      <c r="K158">
        <f t="shared" si="18"/>
        <v>5.46</v>
      </c>
      <c r="L158">
        <f t="shared" si="19"/>
        <v>0</v>
      </c>
    </row>
    <row r="159" spans="1:12" ht="30" x14ac:dyDescent="0.25">
      <c r="A159" s="1" t="s">
        <v>15</v>
      </c>
      <c r="B159" s="9" t="s">
        <v>480</v>
      </c>
      <c r="C159" s="16" t="s">
        <v>481</v>
      </c>
      <c r="D159" s="4" t="s">
        <v>482</v>
      </c>
      <c r="F159" s="5">
        <f t="shared" si="21"/>
        <v>7.8000000000000007</v>
      </c>
      <c r="G159" s="10">
        <v>7.8000000000000007</v>
      </c>
      <c r="H159" s="7">
        <v>0</v>
      </c>
      <c r="I159" s="1">
        <f t="shared" si="16"/>
        <v>2.3400000000000003</v>
      </c>
      <c r="J159">
        <f t="shared" si="17"/>
        <v>0</v>
      </c>
      <c r="K159">
        <f t="shared" si="18"/>
        <v>5.46</v>
      </c>
      <c r="L159">
        <f t="shared" si="19"/>
        <v>0</v>
      </c>
    </row>
    <row r="160" spans="1:12" x14ac:dyDescent="0.25">
      <c r="A160" s="1" t="s">
        <v>15</v>
      </c>
      <c r="B160" s="9" t="s">
        <v>483</v>
      </c>
      <c r="C160" s="16" t="s">
        <v>484</v>
      </c>
      <c r="D160" s="13" t="s">
        <v>485</v>
      </c>
      <c r="F160" s="5">
        <f t="shared" si="21"/>
        <v>45.5</v>
      </c>
      <c r="G160" s="11">
        <v>45.5</v>
      </c>
      <c r="H160" s="14">
        <v>0</v>
      </c>
      <c r="I160" s="1">
        <f t="shared" si="16"/>
        <v>13.65</v>
      </c>
      <c r="J160">
        <f t="shared" si="17"/>
        <v>0</v>
      </c>
      <c r="K160">
        <f t="shared" si="18"/>
        <v>31.849999999999998</v>
      </c>
      <c r="L160">
        <f t="shared" si="19"/>
        <v>0</v>
      </c>
    </row>
    <row r="161" spans="1:12" x14ac:dyDescent="0.25">
      <c r="A161" s="1" t="s">
        <v>15</v>
      </c>
      <c r="B161" s="9" t="s">
        <v>486</v>
      </c>
      <c r="C161" s="16" t="s">
        <v>487</v>
      </c>
      <c r="D161" s="13" t="s">
        <v>488</v>
      </c>
      <c r="F161" s="5">
        <f t="shared" si="21"/>
        <v>39</v>
      </c>
      <c r="G161" s="11">
        <v>39</v>
      </c>
      <c r="H161" s="14">
        <v>0</v>
      </c>
      <c r="I161" s="1">
        <f t="shared" si="16"/>
        <v>11.7</v>
      </c>
      <c r="J161">
        <f t="shared" si="17"/>
        <v>0</v>
      </c>
      <c r="K161">
        <f t="shared" si="18"/>
        <v>27.299999999999997</v>
      </c>
      <c r="L161">
        <f t="shared" si="19"/>
        <v>0</v>
      </c>
    </row>
    <row r="162" spans="1:12" x14ac:dyDescent="0.25">
      <c r="A162" s="1" t="s">
        <v>15</v>
      </c>
      <c r="B162" s="9" t="s">
        <v>489</v>
      </c>
      <c r="C162" s="16" t="s">
        <v>490</v>
      </c>
      <c r="D162" s="13" t="s">
        <v>491</v>
      </c>
      <c r="F162" s="5">
        <f t="shared" si="21"/>
        <v>26</v>
      </c>
      <c r="G162" s="10">
        <v>26</v>
      </c>
      <c r="H162" s="7">
        <v>0</v>
      </c>
      <c r="I162" s="1">
        <f t="shared" si="16"/>
        <v>7.8</v>
      </c>
      <c r="J162">
        <f t="shared" si="17"/>
        <v>0</v>
      </c>
      <c r="K162">
        <f t="shared" si="18"/>
        <v>18.2</v>
      </c>
      <c r="L162">
        <f t="shared" si="19"/>
        <v>0</v>
      </c>
    </row>
    <row r="163" spans="1:12" x14ac:dyDescent="0.25">
      <c r="A163" s="1" t="s">
        <v>15</v>
      </c>
      <c r="B163" s="9" t="s">
        <v>492</v>
      </c>
      <c r="C163" s="16" t="s">
        <v>493</v>
      </c>
      <c r="D163" s="4" t="s">
        <v>494</v>
      </c>
      <c r="F163" s="5">
        <f t="shared" si="21"/>
        <v>39</v>
      </c>
      <c r="G163" s="6">
        <v>13</v>
      </c>
      <c r="H163" s="8">
        <v>26</v>
      </c>
      <c r="I163" s="1">
        <f t="shared" si="16"/>
        <v>3.9</v>
      </c>
      <c r="J163">
        <f t="shared" si="17"/>
        <v>7.8</v>
      </c>
      <c r="K163">
        <f t="shared" si="18"/>
        <v>9.1</v>
      </c>
      <c r="L163">
        <f t="shared" si="19"/>
        <v>18.2</v>
      </c>
    </row>
    <row r="164" spans="1:12" x14ac:dyDescent="0.25">
      <c r="A164" s="1" t="s">
        <v>15</v>
      </c>
      <c r="B164" s="9" t="s">
        <v>495</v>
      </c>
      <c r="C164" s="16" t="s">
        <v>496</v>
      </c>
      <c r="D164" s="4" t="s">
        <v>497</v>
      </c>
      <c r="F164" s="5">
        <f t="shared" si="21"/>
        <v>52</v>
      </c>
      <c r="G164" s="6">
        <v>13</v>
      </c>
      <c r="H164" s="8">
        <v>39</v>
      </c>
      <c r="I164" s="1">
        <f t="shared" si="16"/>
        <v>3.9</v>
      </c>
      <c r="J164">
        <f t="shared" si="17"/>
        <v>11.7</v>
      </c>
      <c r="K164">
        <f t="shared" si="18"/>
        <v>9.1</v>
      </c>
      <c r="L164">
        <f t="shared" si="19"/>
        <v>27.299999999999997</v>
      </c>
    </row>
    <row r="165" spans="1:12" x14ac:dyDescent="0.25">
      <c r="A165" s="1" t="s">
        <v>15</v>
      </c>
      <c r="B165" s="9" t="s">
        <v>498</v>
      </c>
      <c r="C165" s="16" t="s">
        <v>499</v>
      </c>
      <c r="D165" s="4" t="s">
        <v>500</v>
      </c>
      <c r="F165" s="5">
        <f t="shared" si="21"/>
        <v>32.5</v>
      </c>
      <c r="G165" s="10">
        <v>6.5</v>
      </c>
      <c r="H165" s="7">
        <v>26</v>
      </c>
      <c r="I165" s="1">
        <f t="shared" si="16"/>
        <v>1.95</v>
      </c>
      <c r="J165">
        <f t="shared" si="17"/>
        <v>7.8</v>
      </c>
      <c r="K165">
        <f t="shared" si="18"/>
        <v>4.55</v>
      </c>
      <c r="L165">
        <f t="shared" si="19"/>
        <v>18.2</v>
      </c>
    </row>
    <row r="166" spans="1:12" x14ac:dyDescent="0.25">
      <c r="A166" s="1" t="s">
        <v>15</v>
      </c>
      <c r="B166" s="9" t="s">
        <v>501</v>
      </c>
      <c r="C166" s="16" t="s">
        <v>502</v>
      </c>
      <c r="D166" s="4" t="s">
        <v>503</v>
      </c>
      <c r="F166" s="5">
        <f t="shared" si="21"/>
        <v>33.799999999999997</v>
      </c>
      <c r="G166" s="6">
        <v>7.8000000000000007</v>
      </c>
      <c r="H166" s="8">
        <v>26</v>
      </c>
      <c r="I166" s="1">
        <f t="shared" si="16"/>
        <v>2.3400000000000003</v>
      </c>
      <c r="J166">
        <f t="shared" si="17"/>
        <v>7.8</v>
      </c>
      <c r="K166">
        <f t="shared" si="18"/>
        <v>5.46</v>
      </c>
      <c r="L166">
        <f t="shared" si="19"/>
        <v>18.2</v>
      </c>
    </row>
    <row r="167" spans="1:12" x14ac:dyDescent="0.25">
      <c r="A167" s="1" t="s">
        <v>15</v>
      </c>
      <c r="B167" s="9" t="s">
        <v>504</v>
      </c>
      <c r="C167" s="16" t="s">
        <v>505</v>
      </c>
      <c r="D167" s="4" t="s">
        <v>506</v>
      </c>
      <c r="F167" s="5">
        <f t="shared" si="21"/>
        <v>62.4</v>
      </c>
      <c r="G167" s="6">
        <v>10.4</v>
      </c>
      <c r="H167" s="8">
        <v>52</v>
      </c>
      <c r="I167" s="1">
        <f t="shared" si="16"/>
        <v>3.12</v>
      </c>
      <c r="J167">
        <f t="shared" si="17"/>
        <v>15.6</v>
      </c>
      <c r="K167">
        <f t="shared" si="18"/>
        <v>7.2799999999999994</v>
      </c>
      <c r="L167">
        <f t="shared" si="19"/>
        <v>36.4</v>
      </c>
    </row>
    <row r="168" spans="1:12" x14ac:dyDescent="0.25">
      <c r="A168" s="1" t="s">
        <v>15</v>
      </c>
      <c r="B168" s="9" t="s">
        <v>507</v>
      </c>
      <c r="C168" s="16" t="s">
        <v>508</v>
      </c>
      <c r="D168" s="4" t="s">
        <v>509</v>
      </c>
      <c r="F168" s="5">
        <f t="shared" si="21"/>
        <v>20.8</v>
      </c>
      <c r="G168" s="6">
        <v>7.8000000000000007</v>
      </c>
      <c r="H168" s="8">
        <v>13</v>
      </c>
      <c r="I168" s="1">
        <f t="shared" si="16"/>
        <v>2.3400000000000003</v>
      </c>
      <c r="J168">
        <f t="shared" si="17"/>
        <v>3.9</v>
      </c>
      <c r="K168">
        <f t="shared" si="18"/>
        <v>5.46</v>
      </c>
      <c r="L168">
        <f t="shared" si="19"/>
        <v>9.1</v>
      </c>
    </row>
    <row r="169" spans="1:12" ht="30" x14ac:dyDescent="0.25">
      <c r="A169" s="1" t="s">
        <v>15</v>
      </c>
      <c r="B169" s="9" t="s">
        <v>510</v>
      </c>
      <c r="C169" s="16" t="s">
        <v>511</v>
      </c>
      <c r="D169" s="4" t="s">
        <v>512</v>
      </c>
      <c r="F169" s="5">
        <f t="shared" si="21"/>
        <v>31.2</v>
      </c>
      <c r="G169" s="6">
        <v>5.2</v>
      </c>
      <c r="H169" s="8">
        <v>26</v>
      </c>
      <c r="I169" s="1">
        <f t="shared" si="16"/>
        <v>1.56</v>
      </c>
      <c r="J169">
        <f t="shared" si="17"/>
        <v>7.8</v>
      </c>
      <c r="K169">
        <f t="shared" si="18"/>
        <v>3.6399999999999997</v>
      </c>
      <c r="L169">
        <f t="shared" si="19"/>
        <v>18.2</v>
      </c>
    </row>
    <row r="170" spans="1:12" ht="30" x14ac:dyDescent="0.25">
      <c r="A170" s="1" t="s">
        <v>15</v>
      </c>
      <c r="B170" s="9" t="s">
        <v>513</v>
      </c>
      <c r="C170" s="16" t="s">
        <v>514</v>
      </c>
      <c r="D170" s="4" t="s">
        <v>515</v>
      </c>
      <c r="F170" s="5">
        <f t="shared" si="21"/>
        <v>31.2</v>
      </c>
      <c r="G170" s="6">
        <v>5.2</v>
      </c>
      <c r="H170" s="8">
        <v>26</v>
      </c>
      <c r="I170" s="1">
        <f t="shared" si="16"/>
        <v>1.56</v>
      </c>
      <c r="J170">
        <f t="shared" si="17"/>
        <v>7.8</v>
      </c>
      <c r="K170">
        <f t="shared" si="18"/>
        <v>3.6399999999999997</v>
      </c>
      <c r="L170">
        <f t="shared" si="19"/>
        <v>18.2</v>
      </c>
    </row>
    <row r="171" spans="1:12" x14ac:dyDescent="0.25">
      <c r="A171" s="1" t="s">
        <v>15</v>
      </c>
      <c r="B171" s="9" t="s">
        <v>516</v>
      </c>
      <c r="C171" s="16" t="s">
        <v>517</v>
      </c>
      <c r="D171" s="4" t="s">
        <v>518</v>
      </c>
      <c r="F171" s="5">
        <f t="shared" si="21"/>
        <v>101.4</v>
      </c>
      <c r="G171" s="6">
        <v>10.4</v>
      </c>
      <c r="H171" s="8">
        <v>91</v>
      </c>
      <c r="I171" s="1">
        <f t="shared" si="16"/>
        <v>3.12</v>
      </c>
      <c r="J171">
        <f t="shared" si="17"/>
        <v>27.3</v>
      </c>
      <c r="K171">
        <f t="shared" si="18"/>
        <v>7.2799999999999994</v>
      </c>
      <c r="L171">
        <f t="shared" si="19"/>
        <v>63.699999999999996</v>
      </c>
    </row>
    <row r="172" spans="1:12" x14ac:dyDescent="0.25">
      <c r="A172" s="1" t="s">
        <v>15</v>
      </c>
      <c r="B172" s="9" t="s">
        <v>519</v>
      </c>
      <c r="C172" s="16" t="s">
        <v>520</v>
      </c>
      <c r="D172" s="4" t="s">
        <v>521</v>
      </c>
      <c r="F172" s="5">
        <f t="shared" si="21"/>
        <v>58.5</v>
      </c>
      <c r="G172" s="6">
        <v>6.5</v>
      </c>
      <c r="H172" s="8">
        <v>52</v>
      </c>
      <c r="I172" s="1">
        <f t="shared" si="16"/>
        <v>1.95</v>
      </c>
      <c r="J172">
        <f t="shared" si="17"/>
        <v>15.6</v>
      </c>
      <c r="K172">
        <f t="shared" si="18"/>
        <v>4.55</v>
      </c>
      <c r="L172">
        <f t="shared" si="19"/>
        <v>36.4</v>
      </c>
    </row>
    <row r="173" spans="1:12" x14ac:dyDescent="0.25">
      <c r="A173" s="1" t="s">
        <v>15</v>
      </c>
      <c r="B173" s="9" t="s">
        <v>522</v>
      </c>
      <c r="C173" s="16" t="s">
        <v>523</v>
      </c>
      <c r="D173" s="4" t="s">
        <v>524</v>
      </c>
      <c r="F173" s="5">
        <f t="shared" si="21"/>
        <v>101.4</v>
      </c>
      <c r="G173" s="6">
        <v>10.4</v>
      </c>
      <c r="H173" s="8">
        <v>91</v>
      </c>
      <c r="I173" s="1">
        <f t="shared" si="16"/>
        <v>3.12</v>
      </c>
      <c r="J173">
        <f t="shared" si="17"/>
        <v>27.3</v>
      </c>
      <c r="K173">
        <f t="shared" si="18"/>
        <v>7.2799999999999994</v>
      </c>
      <c r="L173">
        <f t="shared" si="19"/>
        <v>63.699999999999996</v>
      </c>
    </row>
    <row r="174" spans="1:12" x14ac:dyDescent="0.25">
      <c r="A174" s="1" t="s">
        <v>15</v>
      </c>
      <c r="B174" s="9" t="s">
        <v>525</v>
      </c>
      <c r="C174" s="16" t="s">
        <v>526</v>
      </c>
      <c r="D174" s="4" t="s">
        <v>527</v>
      </c>
      <c r="F174" s="5">
        <f t="shared" si="21"/>
        <v>59.8</v>
      </c>
      <c r="G174" s="6">
        <v>7.8000000000000007</v>
      </c>
      <c r="H174" s="8">
        <v>52</v>
      </c>
      <c r="I174" s="1">
        <f t="shared" si="16"/>
        <v>2.3400000000000003</v>
      </c>
      <c r="J174">
        <f t="shared" si="17"/>
        <v>15.6</v>
      </c>
      <c r="K174">
        <f t="shared" si="18"/>
        <v>5.46</v>
      </c>
      <c r="L174">
        <f t="shared" si="19"/>
        <v>36.4</v>
      </c>
    </row>
    <row r="175" spans="1:12" x14ac:dyDescent="0.25">
      <c r="A175" s="1" t="s">
        <v>15</v>
      </c>
      <c r="B175" s="9" t="s">
        <v>528</v>
      </c>
      <c r="C175" s="16" t="s">
        <v>529</v>
      </c>
      <c r="D175" s="4" t="s">
        <v>530</v>
      </c>
      <c r="F175" s="5">
        <f t="shared" si="21"/>
        <v>101.4</v>
      </c>
      <c r="G175" s="6">
        <v>10.4</v>
      </c>
      <c r="H175" s="8">
        <v>91</v>
      </c>
      <c r="I175" s="1">
        <f t="shared" si="16"/>
        <v>3.12</v>
      </c>
      <c r="J175">
        <f t="shared" si="17"/>
        <v>27.3</v>
      </c>
      <c r="K175">
        <f t="shared" si="18"/>
        <v>7.2799999999999994</v>
      </c>
      <c r="L175">
        <f t="shared" si="19"/>
        <v>63.699999999999996</v>
      </c>
    </row>
    <row r="176" spans="1:12" x14ac:dyDescent="0.25">
      <c r="A176" s="1" t="s">
        <v>15</v>
      </c>
      <c r="B176" s="9" t="s">
        <v>531</v>
      </c>
      <c r="C176" s="16" t="s">
        <v>532</v>
      </c>
      <c r="D176" s="4" t="s">
        <v>533</v>
      </c>
      <c r="F176" s="5">
        <f t="shared" si="21"/>
        <v>70.2</v>
      </c>
      <c r="G176" s="6">
        <v>11.700000000000001</v>
      </c>
      <c r="H176" s="8">
        <v>58.5</v>
      </c>
      <c r="I176" s="1">
        <f t="shared" si="16"/>
        <v>3.5100000000000002</v>
      </c>
      <c r="J176">
        <f t="shared" si="17"/>
        <v>17.55</v>
      </c>
      <c r="K176">
        <f t="shared" si="18"/>
        <v>8.19</v>
      </c>
      <c r="L176">
        <f t="shared" si="19"/>
        <v>40.949999999999996</v>
      </c>
    </row>
    <row r="177" spans="1:12" x14ac:dyDescent="0.25">
      <c r="A177" s="1" t="s">
        <v>15</v>
      </c>
      <c r="B177" s="9" t="s">
        <v>534</v>
      </c>
      <c r="C177" s="16" t="s">
        <v>535</v>
      </c>
      <c r="D177" s="4" t="s">
        <v>536</v>
      </c>
      <c r="F177" s="5">
        <f t="shared" si="21"/>
        <v>15.6</v>
      </c>
      <c r="G177" s="6">
        <v>13</v>
      </c>
      <c r="H177" s="8">
        <v>2.6</v>
      </c>
      <c r="I177" s="1">
        <f t="shared" si="16"/>
        <v>3.9</v>
      </c>
      <c r="J177">
        <f t="shared" si="17"/>
        <v>0.78</v>
      </c>
      <c r="K177">
        <f t="shared" si="18"/>
        <v>9.1</v>
      </c>
      <c r="L177">
        <f t="shared" si="19"/>
        <v>1.8199999999999998</v>
      </c>
    </row>
    <row r="178" spans="1:12" x14ac:dyDescent="0.25">
      <c r="A178" s="1" t="s">
        <v>15</v>
      </c>
      <c r="B178" s="9" t="s">
        <v>537</v>
      </c>
      <c r="C178" s="16" t="s">
        <v>538</v>
      </c>
      <c r="D178" s="4" t="s">
        <v>539</v>
      </c>
      <c r="F178" s="5">
        <f t="shared" si="21"/>
        <v>15.6</v>
      </c>
      <c r="G178" s="6">
        <v>13</v>
      </c>
      <c r="H178" s="8">
        <v>2.6</v>
      </c>
      <c r="I178" s="1">
        <f t="shared" si="16"/>
        <v>3.9</v>
      </c>
      <c r="J178">
        <f t="shared" si="17"/>
        <v>0.78</v>
      </c>
      <c r="K178">
        <f t="shared" si="18"/>
        <v>9.1</v>
      </c>
      <c r="L178">
        <f t="shared" si="19"/>
        <v>1.8199999999999998</v>
      </c>
    </row>
    <row r="179" spans="1:12" x14ac:dyDescent="0.25">
      <c r="A179" s="1" t="s">
        <v>15</v>
      </c>
      <c r="B179" s="9" t="s">
        <v>540</v>
      </c>
      <c r="C179" s="16" t="s">
        <v>541</v>
      </c>
      <c r="D179" s="4" t="s">
        <v>542</v>
      </c>
      <c r="F179" s="5">
        <f t="shared" si="21"/>
        <v>19.5</v>
      </c>
      <c r="G179" s="6">
        <v>6.5</v>
      </c>
      <c r="H179" s="8">
        <v>13</v>
      </c>
      <c r="I179" s="1">
        <f t="shared" si="16"/>
        <v>1.95</v>
      </c>
      <c r="J179">
        <f t="shared" si="17"/>
        <v>3.9</v>
      </c>
      <c r="K179">
        <f t="shared" si="18"/>
        <v>4.55</v>
      </c>
      <c r="L179">
        <f t="shared" si="19"/>
        <v>9.1</v>
      </c>
    </row>
    <row r="180" spans="1:12" x14ac:dyDescent="0.25">
      <c r="A180" s="1" t="s">
        <v>15</v>
      </c>
      <c r="B180" s="9" t="s">
        <v>543</v>
      </c>
      <c r="C180" s="16" t="s">
        <v>544</v>
      </c>
      <c r="D180" s="4" t="s">
        <v>545</v>
      </c>
      <c r="F180" s="5">
        <f t="shared" si="21"/>
        <v>19.5</v>
      </c>
      <c r="G180" s="6">
        <v>6.5</v>
      </c>
      <c r="H180" s="8">
        <v>13</v>
      </c>
      <c r="I180" s="1">
        <f t="shared" si="16"/>
        <v>1.95</v>
      </c>
      <c r="J180">
        <f t="shared" si="17"/>
        <v>3.9</v>
      </c>
      <c r="K180">
        <f t="shared" si="18"/>
        <v>4.55</v>
      </c>
      <c r="L180">
        <f t="shared" si="19"/>
        <v>9.1</v>
      </c>
    </row>
    <row r="181" spans="1:12" x14ac:dyDescent="0.25">
      <c r="A181" s="1" t="s">
        <v>15</v>
      </c>
      <c r="B181" s="9" t="s">
        <v>546</v>
      </c>
      <c r="C181" s="16" t="s">
        <v>547</v>
      </c>
      <c r="D181" s="4" t="s">
        <v>548</v>
      </c>
      <c r="F181" s="5">
        <f t="shared" si="21"/>
        <v>19.5</v>
      </c>
      <c r="G181" s="6">
        <v>6.5</v>
      </c>
      <c r="H181" s="8">
        <v>13</v>
      </c>
      <c r="I181" s="1">
        <f t="shared" si="16"/>
        <v>1.95</v>
      </c>
      <c r="J181">
        <f t="shared" si="17"/>
        <v>3.9</v>
      </c>
      <c r="K181">
        <f t="shared" si="18"/>
        <v>4.55</v>
      </c>
      <c r="L181">
        <f t="shared" si="19"/>
        <v>9.1</v>
      </c>
    </row>
    <row r="182" spans="1:12" x14ac:dyDescent="0.25">
      <c r="A182" s="1" t="s">
        <v>15</v>
      </c>
      <c r="B182" s="9" t="s">
        <v>549</v>
      </c>
      <c r="C182" s="16" t="s">
        <v>550</v>
      </c>
      <c r="D182" s="4" t="s">
        <v>551</v>
      </c>
      <c r="F182" s="5">
        <f t="shared" si="21"/>
        <v>19.5</v>
      </c>
      <c r="G182" s="6">
        <v>6.5</v>
      </c>
      <c r="H182" s="8">
        <v>13</v>
      </c>
      <c r="I182" s="1">
        <f t="shared" si="16"/>
        <v>1.95</v>
      </c>
      <c r="J182">
        <f t="shared" si="17"/>
        <v>3.9</v>
      </c>
      <c r="K182">
        <f t="shared" si="18"/>
        <v>4.55</v>
      </c>
      <c r="L182">
        <f t="shared" si="19"/>
        <v>9.1</v>
      </c>
    </row>
    <row r="183" spans="1:12" x14ac:dyDescent="0.25">
      <c r="A183" s="1" t="s">
        <v>15</v>
      </c>
      <c r="B183" s="9" t="s">
        <v>552</v>
      </c>
      <c r="C183" s="16" t="s">
        <v>553</v>
      </c>
      <c r="D183" s="4" t="s">
        <v>554</v>
      </c>
      <c r="F183" s="5">
        <f>G183+H183</f>
        <v>19.5</v>
      </c>
      <c r="G183" s="6">
        <v>6.5</v>
      </c>
      <c r="H183" s="8">
        <v>13</v>
      </c>
      <c r="I183" s="1">
        <f t="shared" si="16"/>
        <v>1.95</v>
      </c>
      <c r="J183">
        <f t="shared" si="17"/>
        <v>3.9</v>
      </c>
      <c r="K183">
        <f t="shared" si="18"/>
        <v>4.55</v>
      </c>
      <c r="L183">
        <f t="shared" si="19"/>
        <v>9.1</v>
      </c>
    </row>
    <row r="184" spans="1:12" x14ac:dyDescent="0.25">
      <c r="A184" s="1" t="s">
        <v>15</v>
      </c>
      <c r="B184" s="9" t="s">
        <v>555</v>
      </c>
      <c r="C184" s="16" t="s">
        <v>556</v>
      </c>
      <c r="D184" s="4" t="s">
        <v>557</v>
      </c>
      <c r="F184" s="5">
        <f t="shared" ref="F184:F202" si="22">G184+H184</f>
        <v>19.5</v>
      </c>
      <c r="G184" s="6">
        <v>6.5</v>
      </c>
      <c r="H184" s="8">
        <v>13</v>
      </c>
      <c r="I184" s="1">
        <f t="shared" si="16"/>
        <v>1.95</v>
      </c>
      <c r="J184">
        <f t="shared" si="17"/>
        <v>3.9</v>
      </c>
      <c r="K184">
        <f t="shared" si="18"/>
        <v>4.55</v>
      </c>
      <c r="L184">
        <f t="shared" si="19"/>
        <v>9.1</v>
      </c>
    </row>
    <row r="185" spans="1:12" x14ac:dyDescent="0.25">
      <c r="A185" s="1" t="s">
        <v>15</v>
      </c>
      <c r="B185" s="9" t="s">
        <v>558</v>
      </c>
      <c r="C185" s="16" t="s">
        <v>559</v>
      </c>
      <c r="D185" s="4" t="s">
        <v>560</v>
      </c>
      <c r="F185" s="5">
        <f t="shared" si="22"/>
        <v>19.5</v>
      </c>
      <c r="G185" s="6">
        <v>6.5</v>
      </c>
      <c r="H185" s="8">
        <v>13</v>
      </c>
      <c r="I185" s="1">
        <f t="shared" si="16"/>
        <v>1.95</v>
      </c>
      <c r="J185">
        <f t="shared" si="17"/>
        <v>3.9</v>
      </c>
      <c r="K185">
        <f t="shared" si="18"/>
        <v>4.55</v>
      </c>
      <c r="L185">
        <f t="shared" si="19"/>
        <v>9.1</v>
      </c>
    </row>
    <row r="186" spans="1:12" x14ac:dyDescent="0.25">
      <c r="A186" s="1" t="s">
        <v>15</v>
      </c>
      <c r="B186" s="9" t="s">
        <v>561</v>
      </c>
      <c r="C186" s="16" t="s">
        <v>562</v>
      </c>
      <c r="D186" s="4" t="s">
        <v>563</v>
      </c>
      <c r="F186" s="5">
        <f t="shared" si="22"/>
        <v>19.5</v>
      </c>
      <c r="G186" s="6">
        <v>6.5</v>
      </c>
      <c r="H186" s="8">
        <v>13</v>
      </c>
      <c r="I186" s="1">
        <f t="shared" si="16"/>
        <v>1.95</v>
      </c>
      <c r="J186">
        <f t="shared" si="17"/>
        <v>3.9</v>
      </c>
      <c r="K186">
        <f t="shared" si="18"/>
        <v>4.55</v>
      </c>
      <c r="L186">
        <f t="shared" si="19"/>
        <v>9.1</v>
      </c>
    </row>
    <row r="187" spans="1:12" x14ac:dyDescent="0.25">
      <c r="A187" s="1" t="s">
        <v>15</v>
      </c>
      <c r="B187" s="9" t="s">
        <v>564</v>
      </c>
      <c r="C187" s="16" t="s">
        <v>565</v>
      </c>
      <c r="D187" s="4" t="s">
        <v>566</v>
      </c>
      <c r="F187" s="5">
        <f t="shared" si="22"/>
        <v>19.5</v>
      </c>
      <c r="G187" s="6">
        <v>6.5</v>
      </c>
      <c r="H187" s="8">
        <v>13</v>
      </c>
      <c r="I187" s="1">
        <f t="shared" si="16"/>
        <v>1.95</v>
      </c>
      <c r="J187">
        <f t="shared" si="17"/>
        <v>3.9</v>
      </c>
      <c r="K187">
        <f t="shared" si="18"/>
        <v>4.55</v>
      </c>
      <c r="L187">
        <f t="shared" si="19"/>
        <v>9.1</v>
      </c>
    </row>
    <row r="188" spans="1:12" x14ac:dyDescent="0.25">
      <c r="A188" s="1" t="s">
        <v>15</v>
      </c>
      <c r="B188" s="9" t="s">
        <v>567</v>
      </c>
      <c r="C188" s="16" t="s">
        <v>568</v>
      </c>
      <c r="D188" s="4" t="s">
        <v>569</v>
      </c>
      <c r="F188" s="5">
        <f t="shared" si="22"/>
        <v>20.8</v>
      </c>
      <c r="G188" s="6">
        <v>7.8000000000000007</v>
      </c>
      <c r="H188" s="8">
        <v>13</v>
      </c>
      <c r="I188" s="1">
        <f t="shared" si="16"/>
        <v>2.3400000000000003</v>
      </c>
      <c r="J188">
        <f t="shared" si="17"/>
        <v>3.9</v>
      </c>
      <c r="K188">
        <f t="shared" si="18"/>
        <v>5.46</v>
      </c>
      <c r="L188">
        <f t="shared" si="19"/>
        <v>9.1</v>
      </c>
    </row>
    <row r="189" spans="1:12" x14ac:dyDescent="0.25">
      <c r="A189" s="1" t="s">
        <v>15</v>
      </c>
      <c r="B189" s="9" t="s">
        <v>570</v>
      </c>
      <c r="C189" s="3" t="s">
        <v>571</v>
      </c>
      <c r="D189" s="13" t="s">
        <v>572</v>
      </c>
      <c r="F189" s="5">
        <f t="shared" si="22"/>
        <v>45.5</v>
      </c>
      <c r="G189" s="11">
        <v>45.5</v>
      </c>
      <c r="H189" s="14">
        <v>0</v>
      </c>
      <c r="I189" s="1">
        <f t="shared" si="16"/>
        <v>13.65</v>
      </c>
      <c r="J189">
        <f t="shared" si="17"/>
        <v>0</v>
      </c>
      <c r="K189">
        <f t="shared" si="18"/>
        <v>31.849999999999998</v>
      </c>
      <c r="L189">
        <f t="shared" si="19"/>
        <v>0</v>
      </c>
    </row>
    <row r="190" spans="1:12" x14ac:dyDescent="0.25">
      <c r="A190" s="1" t="s">
        <v>15</v>
      </c>
      <c r="B190" s="9" t="s">
        <v>573</v>
      </c>
      <c r="C190" s="3" t="s">
        <v>574</v>
      </c>
      <c r="D190" s="13" t="s">
        <v>575</v>
      </c>
      <c r="F190" s="5">
        <f t="shared" si="22"/>
        <v>11.700000000000001</v>
      </c>
      <c r="G190" s="11">
        <v>1.3</v>
      </c>
      <c r="H190" s="14">
        <v>10.4</v>
      </c>
      <c r="I190" s="1">
        <f t="shared" si="16"/>
        <v>0.39</v>
      </c>
      <c r="J190">
        <f t="shared" si="17"/>
        <v>3.12</v>
      </c>
      <c r="K190">
        <f t="shared" si="18"/>
        <v>0.90999999999999992</v>
      </c>
      <c r="L190">
        <f t="shared" si="19"/>
        <v>7.2799999999999994</v>
      </c>
    </row>
    <row r="191" spans="1:12" x14ac:dyDescent="0.25">
      <c r="A191" s="1" t="s">
        <v>15</v>
      </c>
      <c r="B191" s="9" t="s">
        <v>576</v>
      </c>
      <c r="C191" s="3" t="s">
        <v>577</v>
      </c>
      <c r="D191" s="13" t="s">
        <v>578</v>
      </c>
      <c r="F191" s="5">
        <f t="shared" si="22"/>
        <v>23.400000000000002</v>
      </c>
      <c r="G191" s="11">
        <v>2.6</v>
      </c>
      <c r="H191" s="14">
        <v>20.8</v>
      </c>
      <c r="I191" s="1">
        <f t="shared" si="16"/>
        <v>0.78</v>
      </c>
      <c r="J191">
        <f t="shared" si="17"/>
        <v>6.24</v>
      </c>
      <c r="K191">
        <f t="shared" si="18"/>
        <v>1.8199999999999998</v>
      </c>
      <c r="L191">
        <f t="shared" si="19"/>
        <v>14.559999999999999</v>
      </c>
    </row>
    <row r="192" spans="1:12" x14ac:dyDescent="0.25">
      <c r="A192" s="1" t="s">
        <v>15</v>
      </c>
      <c r="B192" s="9" t="s">
        <v>579</v>
      </c>
      <c r="C192" s="3" t="s">
        <v>580</v>
      </c>
      <c r="D192" s="13" t="s">
        <v>581</v>
      </c>
      <c r="F192" s="5">
        <f t="shared" si="22"/>
        <v>39</v>
      </c>
      <c r="G192" s="11">
        <v>6.5</v>
      </c>
      <c r="H192" s="14">
        <v>32.5</v>
      </c>
      <c r="I192" s="1">
        <f t="shared" si="16"/>
        <v>1.95</v>
      </c>
      <c r="J192">
        <f t="shared" si="17"/>
        <v>9.75</v>
      </c>
      <c r="K192">
        <f t="shared" si="18"/>
        <v>4.55</v>
      </c>
      <c r="L192">
        <f t="shared" si="19"/>
        <v>22.75</v>
      </c>
    </row>
    <row r="193" spans="1:12" x14ac:dyDescent="0.25">
      <c r="A193" s="1" t="s">
        <v>15</v>
      </c>
      <c r="B193" s="9" t="s">
        <v>582</v>
      </c>
      <c r="C193" s="3" t="s">
        <v>583</v>
      </c>
      <c r="D193" s="13" t="s">
        <v>584</v>
      </c>
      <c r="F193" s="5">
        <f t="shared" si="22"/>
        <v>32.5</v>
      </c>
      <c r="G193" s="11">
        <v>6.5</v>
      </c>
      <c r="H193" s="14">
        <v>26</v>
      </c>
      <c r="I193" s="1">
        <f t="shared" si="16"/>
        <v>1.95</v>
      </c>
      <c r="J193">
        <f t="shared" si="17"/>
        <v>7.8</v>
      </c>
      <c r="K193">
        <f t="shared" si="18"/>
        <v>4.55</v>
      </c>
      <c r="L193">
        <f t="shared" si="19"/>
        <v>18.2</v>
      </c>
    </row>
    <row r="194" spans="1:12" x14ac:dyDescent="0.25">
      <c r="A194" s="1" t="s">
        <v>15</v>
      </c>
      <c r="B194" s="9" t="s">
        <v>585</v>
      </c>
      <c r="C194" s="3" t="s">
        <v>586</v>
      </c>
      <c r="D194" s="13" t="s">
        <v>587</v>
      </c>
      <c r="F194" s="5">
        <f t="shared" si="22"/>
        <v>22.1</v>
      </c>
      <c r="G194" s="11">
        <v>2.6</v>
      </c>
      <c r="H194" s="14">
        <v>19.5</v>
      </c>
      <c r="I194" s="1">
        <f t="shared" si="16"/>
        <v>0.78</v>
      </c>
      <c r="J194">
        <f t="shared" si="17"/>
        <v>5.85</v>
      </c>
      <c r="K194">
        <f t="shared" si="18"/>
        <v>1.8199999999999998</v>
      </c>
      <c r="L194">
        <f t="shared" si="19"/>
        <v>13.649999999999999</v>
      </c>
    </row>
    <row r="195" spans="1:12" x14ac:dyDescent="0.25">
      <c r="A195" s="1" t="s">
        <v>15</v>
      </c>
      <c r="B195" s="9" t="s">
        <v>588</v>
      </c>
      <c r="C195" s="3" t="s">
        <v>589</v>
      </c>
      <c r="D195" s="13" t="s">
        <v>590</v>
      </c>
      <c r="F195" s="5">
        <f t="shared" si="22"/>
        <v>65</v>
      </c>
      <c r="G195" s="11">
        <v>13</v>
      </c>
      <c r="H195" s="14">
        <v>52</v>
      </c>
      <c r="I195" s="1">
        <f t="shared" si="16"/>
        <v>3.9</v>
      </c>
      <c r="J195">
        <f t="shared" si="17"/>
        <v>15.6</v>
      </c>
      <c r="K195">
        <f t="shared" si="18"/>
        <v>9.1</v>
      </c>
      <c r="L195">
        <f t="shared" si="19"/>
        <v>36.4</v>
      </c>
    </row>
    <row r="196" spans="1:12" x14ac:dyDescent="0.25">
      <c r="A196" s="1" t="s">
        <v>15</v>
      </c>
      <c r="B196" s="9" t="s">
        <v>591</v>
      </c>
      <c r="C196" s="3" t="s">
        <v>592</v>
      </c>
      <c r="D196" s="13" t="s">
        <v>593</v>
      </c>
      <c r="F196" s="5">
        <f t="shared" si="22"/>
        <v>81.900000000000006</v>
      </c>
      <c r="G196" s="11">
        <v>23.400000000000002</v>
      </c>
      <c r="H196" s="14">
        <v>58.5</v>
      </c>
      <c r="I196" s="1">
        <f t="shared" ref="I196:I259" si="23">G196*0.3</f>
        <v>7.0200000000000005</v>
      </c>
      <c r="J196">
        <f t="shared" ref="J196:J259" si="24">H196*0.3</f>
        <v>17.55</v>
      </c>
      <c r="K196">
        <f t="shared" ref="K196:K259" si="25">G196*0.7</f>
        <v>16.38</v>
      </c>
      <c r="L196">
        <f t="shared" ref="L196:L259" si="26">H196*0.7</f>
        <v>40.949999999999996</v>
      </c>
    </row>
    <row r="197" spans="1:12" x14ac:dyDescent="0.25">
      <c r="A197" s="1" t="s">
        <v>15</v>
      </c>
      <c r="B197" s="9" t="s">
        <v>594</v>
      </c>
      <c r="C197" s="3" t="s">
        <v>595</v>
      </c>
      <c r="D197" s="13" t="s">
        <v>596</v>
      </c>
      <c r="F197" s="5">
        <f t="shared" si="22"/>
        <v>22.1</v>
      </c>
      <c r="G197" s="11">
        <v>2.6</v>
      </c>
      <c r="H197" s="14">
        <v>19.5</v>
      </c>
      <c r="I197" s="1">
        <f t="shared" si="23"/>
        <v>0.78</v>
      </c>
      <c r="J197">
        <f t="shared" si="24"/>
        <v>5.85</v>
      </c>
      <c r="K197">
        <f t="shared" si="25"/>
        <v>1.8199999999999998</v>
      </c>
      <c r="L197">
        <f t="shared" si="26"/>
        <v>13.649999999999999</v>
      </c>
    </row>
    <row r="198" spans="1:12" x14ac:dyDescent="0.25">
      <c r="A198" s="1" t="s">
        <v>15</v>
      </c>
      <c r="B198" s="9" t="s">
        <v>597</v>
      </c>
      <c r="C198" s="3" t="s">
        <v>598</v>
      </c>
      <c r="D198" s="13" t="s">
        <v>599</v>
      </c>
      <c r="F198" s="5">
        <f t="shared" si="22"/>
        <v>22.1</v>
      </c>
      <c r="G198" s="11">
        <v>2.6</v>
      </c>
      <c r="H198" s="14">
        <v>19.5</v>
      </c>
      <c r="I198" s="1">
        <f t="shared" si="23"/>
        <v>0.78</v>
      </c>
      <c r="J198">
        <f t="shared" si="24"/>
        <v>5.85</v>
      </c>
      <c r="K198">
        <f t="shared" si="25"/>
        <v>1.8199999999999998</v>
      </c>
      <c r="L198">
        <f t="shared" si="26"/>
        <v>13.649999999999999</v>
      </c>
    </row>
    <row r="199" spans="1:12" x14ac:dyDescent="0.25">
      <c r="A199" s="1" t="s">
        <v>15</v>
      </c>
      <c r="B199" s="9" t="s">
        <v>600</v>
      </c>
      <c r="C199" s="3" t="s">
        <v>601</v>
      </c>
      <c r="D199" s="13" t="s">
        <v>602</v>
      </c>
      <c r="F199" s="5">
        <f t="shared" si="22"/>
        <v>74.099999999999994</v>
      </c>
      <c r="G199" s="11">
        <v>15.600000000000001</v>
      </c>
      <c r="H199" s="14">
        <v>58.5</v>
      </c>
      <c r="I199" s="1">
        <f t="shared" si="23"/>
        <v>4.6800000000000006</v>
      </c>
      <c r="J199">
        <f t="shared" si="24"/>
        <v>17.55</v>
      </c>
      <c r="K199">
        <f t="shared" si="25"/>
        <v>10.92</v>
      </c>
      <c r="L199">
        <f t="shared" si="26"/>
        <v>40.949999999999996</v>
      </c>
    </row>
    <row r="200" spans="1:12" x14ac:dyDescent="0.25">
      <c r="A200" s="1" t="s">
        <v>15</v>
      </c>
      <c r="B200" s="9" t="s">
        <v>603</v>
      </c>
      <c r="C200" s="3" t="s">
        <v>604</v>
      </c>
      <c r="D200" s="13" t="s">
        <v>605</v>
      </c>
      <c r="F200" s="5">
        <f t="shared" si="22"/>
        <v>20.8</v>
      </c>
      <c r="G200" s="11">
        <v>7.8000000000000007</v>
      </c>
      <c r="H200" s="14">
        <v>13</v>
      </c>
      <c r="I200" s="1">
        <f t="shared" si="23"/>
        <v>2.3400000000000003</v>
      </c>
      <c r="J200">
        <f t="shared" si="24"/>
        <v>3.9</v>
      </c>
      <c r="K200">
        <f t="shared" si="25"/>
        <v>5.46</v>
      </c>
      <c r="L200">
        <f t="shared" si="26"/>
        <v>9.1</v>
      </c>
    </row>
    <row r="201" spans="1:12" x14ac:dyDescent="0.25">
      <c r="A201" s="1" t="s">
        <v>15</v>
      </c>
      <c r="B201" s="9" t="s">
        <v>606</v>
      </c>
      <c r="C201" s="3" t="s">
        <v>607</v>
      </c>
      <c r="D201" s="13" t="s">
        <v>608</v>
      </c>
      <c r="F201" s="5">
        <f t="shared" si="22"/>
        <v>19.5</v>
      </c>
      <c r="G201" s="11">
        <v>6.5</v>
      </c>
      <c r="H201" s="14">
        <v>13</v>
      </c>
      <c r="I201" s="1">
        <f t="shared" si="23"/>
        <v>1.95</v>
      </c>
      <c r="J201">
        <f t="shared" si="24"/>
        <v>3.9</v>
      </c>
      <c r="K201">
        <f t="shared" si="25"/>
        <v>4.55</v>
      </c>
      <c r="L201">
        <f t="shared" si="26"/>
        <v>9.1</v>
      </c>
    </row>
    <row r="202" spans="1:12" x14ac:dyDescent="0.25">
      <c r="A202" s="1" t="s">
        <v>15</v>
      </c>
      <c r="B202" s="9" t="s">
        <v>609</v>
      </c>
      <c r="C202" s="3" t="s">
        <v>610</v>
      </c>
      <c r="D202" s="13" t="s">
        <v>611</v>
      </c>
      <c r="F202" s="5">
        <f t="shared" si="22"/>
        <v>19.5</v>
      </c>
      <c r="G202" s="11">
        <v>6.5</v>
      </c>
      <c r="H202" s="14">
        <v>13</v>
      </c>
      <c r="I202" s="1">
        <f t="shared" si="23"/>
        <v>1.95</v>
      </c>
      <c r="J202">
        <f t="shared" si="24"/>
        <v>3.9</v>
      </c>
      <c r="K202">
        <f t="shared" si="25"/>
        <v>4.55</v>
      </c>
      <c r="L202">
        <f t="shared" si="26"/>
        <v>9.1</v>
      </c>
    </row>
    <row r="203" spans="1:12" x14ac:dyDescent="0.25">
      <c r="A203" s="1" t="s">
        <v>15</v>
      </c>
      <c r="B203" s="9" t="s">
        <v>612</v>
      </c>
      <c r="C203" s="3" t="s">
        <v>613</v>
      </c>
      <c r="D203" s="13" t="s">
        <v>614</v>
      </c>
      <c r="F203" s="5"/>
      <c r="G203" s="11"/>
      <c r="H203" s="14"/>
      <c r="I203" s="1">
        <f t="shared" si="23"/>
        <v>0</v>
      </c>
      <c r="J203">
        <f t="shared" si="24"/>
        <v>0</v>
      </c>
      <c r="K203">
        <f t="shared" si="25"/>
        <v>0</v>
      </c>
      <c r="L203">
        <f t="shared" si="26"/>
        <v>0</v>
      </c>
    </row>
    <row r="204" spans="1:12" x14ac:dyDescent="0.25">
      <c r="A204" s="1" t="s">
        <v>15</v>
      </c>
      <c r="B204" s="9" t="s">
        <v>615</v>
      </c>
      <c r="C204" s="3" t="s">
        <v>616</v>
      </c>
      <c r="D204" s="13" t="s">
        <v>617</v>
      </c>
      <c r="F204" s="5"/>
      <c r="G204" s="11"/>
      <c r="H204" s="14"/>
      <c r="I204" s="1">
        <f t="shared" si="23"/>
        <v>0</v>
      </c>
      <c r="J204">
        <f t="shared" si="24"/>
        <v>0</v>
      </c>
      <c r="K204">
        <f t="shared" si="25"/>
        <v>0</v>
      </c>
      <c r="L204">
        <f t="shared" si="26"/>
        <v>0</v>
      </c>
    </row>
    <row r="205" spans="1:12" x14ac:dyDescent="0.25">
      <c r="A205" s="1" t="s">
        <v>15</v>
      </c>
      <c r="B205" s="9" t="s">
        <v>618</v>
      </c>
      <c r="C205" s="3" t="s">
        <v>619</v>
      </c>
      <c r="D205" s="13" t="s">
        <v>620</v>
      </c>
      <c r="F205" s="5">
        <f t="shared" ref="F205:F222" si="27">G205+H205</f>
        <v>57.2</v>
      </c>
      <c r="G205" s="11">
        <v>2.6</v>
      </c>
      <c r="H205" s="14">
        <v>54.6</v>
      </c>
      <c r="I205" s="1">
        <f t="shared" si="23"/>
        <v>0.78</v>
      </c>
      <c r="J205">
        <f t="shared" si="24"/>
        <v>16.38</v>
      </c>
      <c r="K205">
        <f t="shared" si="25"/>
        <v>1.8199999999999998</v>
      </c>
      <c r="L205">
        <f t="shared" si="26"/>
        <v>38.22</v>
      </c>
    </row>
    <row r="206" spans="1:12" x14ac:dyDescent="0.25">
      <c r="A206" s="1" t="s">
        <v>15</v>
      </c>
      <c r="B206" s="9" t="s">
        <v>621</v>
      </c>
      <c r="C206" s="3" t="s">
        <v>622</v>
      </c>
      <c r="D206" s="13" t="s">
        <v>623</v>
      </c>
      <c r="F206" s="5">
        <f>G206+H206</f>
        <v>57.2</v>
      </c>
      <c r="G206" s="11">
        <v>2.6</v>
      </c>
      <c r="H206" s="14">
        <v>54.6</v>
      </c>
      <c r="I206" s="1">
        <f t="shared" si="23"/>
        <v>0.78</v>
      </c>
      <c r="J206">
        <f t="shared" si="24"/>
        <v>16.38</v>
      </c>
      <c r="K206">
        <f t="shared" si="25"/>
        <v>1.8199999999999998</v>
      </c>
      <c r="L206">
        <f t="shared" si="26"/>
        <v>38.22</v>
      </c>
    </row>
    <row r="207" spans="1:12" x14ac:dyDescent="0.25">
      <c r="A207" s="1" t="s">
        <v>15</v>
      </c>
      <c r="B207" s="9" t="s">
        <v>624</v>
      </c>
      <c r="C207" s="3" t="s">
        <v>625</v>
      </c>
      <c r="D207" s="13" t="s">
        <v>626</v>
      </c>
      <c r="F207" s="5">
        <f t="shared" si="27"/>
        <v>81.900000000000006</v>
      </c>
      <c r="G207" s="11">
        <v>23.400000000000002</v>
      </c>
      <c r="H207" s="14">
        <v>58.5</v>
      </c>
      <c r="I207" s="1">
        <f t="shared" si="23"/>
        <v>7.0200000000000005</v>
      </c>
      <c r="J207">
        <f t="shared" si="24"/>
        <v>17.55</v>
      </c>
      <c r="K207">
        <f t="shared" si="25"/>
        <v>16.38</v>
      </c>
      <c r="L207">
        <f t="shared" si="26"/>
        <v>40.949999999999996</v>
      </c>
    </row>
    <row r="208" spans="1:12" x14ac:dyDescent="0.25">
      <c r="A208" s="1" t="s">
        <v>15</v>
      </c>
      <c r="B208" s="9" t="s">
        <v>627</v>
      </c>
      <c r="C208" s="3" t="s">
        <v>628</v>
      </c>
      <c r="D208" s="13" t="s">
        <v>629</v>
      </c>
      <c r="F208" s="5">
        <f t="shared" si="27"/>
        <v>20.8</v>
      </c>
      <c r="G208" s="11">
        <v>7.8000000000000007</v>
      </c>
      <c r="H208" s="14">
        <v>13</v>
      </c>
      <c r="I208" s="1">
        <f t="shared" si="23"/>
        <v>2.3400000000000003</v>
      </c>
      <c r="J208">
        <f t="shared" si="24"/>
        <v>3.9</v>
      </c>
      <c r="K208">
        <f t="shared" si="25"/>
        <v>5.46</v>
      </c>
      <c r="L208">
        <f t="shared" si="26"/>
        <v>9.1</v>
      </c>
    </row>
    <row r="209" spans="1:12" x14ac:dyDescent="0.25">
      <c r="A209" s="1" t="s">
        <v>15</v>
      </c>
      <c r="B209" s="9" t="s">
        <v>630</v>
      </c>
      <c r="C209" s="3" t="s">
        <v>631</v>
      </c>
      <c r="D209" s="13" t="s">
        <v>632</v>
      </c>
      <c r="F209" s="5">
        <f t="shared" si="27"/>
        <v>61.1</v>
      </c>
      <c r="G209" s="11">
        <v>15.600000000000001</v>
      </c>
      <c r="H209" s="14">
        <v>45.5</v>
      </c>
      <c r="I209" s="1">
        <f t="shared" si="23"/>
        <v>4.6800000000000006</v>
      </c>
      <c r="J209">
        <f t="shared" si="24"/>
        <v>13.65</v>
      </c>
      <c r="K209">
        <f t="shared" si="25"/>
        <v>10.92</v>
      </c>
      <c r="L209">
        <f t="shared" si="26"/>
        <v>31.849999999999998</v>
      </c>
    </row>
    <row r="210" spans="1:12" x14ac:dyDescent="0.25">
      <c r="A210" s="1" t="s">
        <v>15</v>
      </c>
      <c r="B210" s="9" t="s">
        <v>633</v>
      </c>
      <c r="C210" s="3" t="s">
        <v>634</v>
      </c>
      <c r="D210" s="13" t="s">
        <v>635</v>
      </c>
      <c r="F210" s="5">
        <f t="shared" si="27"/>
        <v>57.2</v>
      </c>
      <c r="G210" s="11">
        <v>2.6</v>
      </c>
      <c r="H210" s="14">
        <v>54.6</v>
      </c>
      <c r="I210" s="1">
        <f t="shared" si="23"/>
        <v>0.78</v>
      </c>
      <c r="J210">
        <f t="shared" si="24"/>
        <v>16.38</v>
      </c>
      <c r="K210">
        <f t="shared" si="25"/>
        <v>1.8199999999999998</v>
      </c>
      <c r="L210">
        <f t="shared" si="26"/>
        <v>38.22</v>
      </c>
    </row>
    <row r="211" spans="1:12" x14ac:dyDescent="0.25">
      <c r="A211" s="1" t="s">
        <v>15</v>
      </c>
      <c r="B211" s="9" t="s">
        <v>636</v>
      </c>
      <c r="C211" s="3" t="s">
        <v>637</v>
      </c>
      <c r="D211" s="13" t="s">
        <v>638</v>
      </c>
      <c r="F211" s="5">
        <f t="shared" si="27"/>
        <v>57.2</v>
      </c>
      <c r="G211" s="11">
        <v>2.6</v>
      </c>
      <c r="H211" s="14">
        <v>54.6</v>
      </c>
      <c r="I211" s="1">
        <f t="shared" si="23"/>
        <v>0.78</v>
      </c>
      <c r="J211">
        <f t="shared" si="24"/>
        <v>16.38</v>
      </c>
      <c r="K211">
        <f t="shared" si="25"/>
        <v>1.8199999999999998</v>
      </c>
      <c r="L211">
        <f t="shared" si="26"/>
        <v>38.22</v>
      </c>
    </row>
    <row r="212" spans="1:12" x14ac:dyDescent="0.25">
      <c r="A212" s="1" t="s">
        <v>15</v>
      </c>
      <c r="B212" s="9" t="s">
        <v>639</v>
      </c>
      <c r="C212" s="3" t="s">
        <v>640</v>
      </c>
      <c r="D212" s="13" t="s">
        <v>641</v>
      </c>
      <c r="F212" s="5">
        <f t="shared" si="27"/>
        <v>62.400000000000006</v>
      </c>
      <c r="G212" s="11">
        <v>23.400000000000002</v>
      </c>
      <c r="H212" s="14">
        <v>39</v>
      </c>
      <c r="I212" s="1">
        <f t="shared" si="23"/>
        <v>7.0200000000000005</v>
      </c>
      <c r="J212">
        <f t="shared" si="24"/>
        <v>11.7</v>
      </c>
      <c r="K212">
        <f t="shared" si="25"/>
        <v>16.38</v>
      </c>
      <c r="L212">
        <f t="shared" si="26"/>
        <v>27.299999999999997</v>
      </c>
    </row>
    <row r="213" spans="1:12" x14ac:dyDescent="0.25">
      <c r="A213" s="1" t="s">
        <v>15</v>
      </c>
      <c r="B213" s="9" t="s">
        <v>642</v>
      </c>
      <c r="C213" s="3" t="s">
        <v>643</v>
      </c>
      <c r="D213" s="13" t="s">
        <v>644</v>
      </c>
      <c r="F213" s="5">
        <f t="shared" si="27"/>
        <v>28.6</v>
      </c>
      <c r="G213" s="11">
        <v>2.6</v>
      </c>
      <c r="H213" s="14">
        <v>26</v>
      </c>
      <c r="I213" s="1">
        <f t="shared" si="23"/>
        <v>0.78</v>
      </c>
      <c r="J213">
        <f t="shared" si="24"/>
        <v>7.8</v>
      </c>
      <c r="K213">
        <f t="shared" si="25"/>
        <v>1.8199999999999998</v>
      </c>
      <c r="L213">
        <f t="shared" si="26"/>
        <v>18.2</v>
      </c>
    </row>
    <row r="214" spans="1:12" x14ac:dyDescent="0.25">
      <c r="A214" s="1" t="s">
        <v>15</v>
      </c>
      <c r="B214" s="9" t="s">
        <v>645</v>
      </c>
      <c r="C214" s="3" t="s">
        <v>646</v>
      </c>
      <c r="D214" s="13" t="s">
        <v>647</v>
      </c>
      <c r="F214" s="5">
        <f t="shared" si="27"/>
        <v>61.1</v>
      </c>
      <c r="G214" s="11">
        <v>15.600000000000001</v>
      </c>
      <c r="H214" s="14">
        <v>45.5</v>
      </c>
      <c r="I214" s="1">
        <f t="shared" si="23"/>
        <v>4.6800000000000006</v>
      </c>
      <c r="J214">
        <f t="shared" si="24"/>
        <v>13.65</v>
      </c>
      <c r="K214">
        <f t="shared" si="25"/>
        <v>10.92</v>
      </c>
      <c r="L214">
        <f t="shared" si="26"/>
        <v>31.849999999999998</v>
      </c>
    </row>
    <row r="215" spans="1:12" x14ac:dyDescent="0.25">
      <c r="A215" s="1" t="s">
        <v>15</v>
      </c>
      <c r="B215" s="9" t="s">
        <v>648</v>
      </c>
      <c r="C215" s="3" t="s">
        <v>649</v>
      </c>
      <c r="D215" s="13" t="s">
        <v>650</v>
      </c>
      <c r="F215" s="5">
        <f t="shared" si="27"/>
        <v>9.1</v>
      </c>
      <c r="G215" s="11">
        <v>2.6</v>
      </c>
      <c r="H215" s="14">
        <v>6.5</v>
      </c>
      <c r="I215" s="1">
        <f t="shared" si="23"/>
        <v>0.78</v>
      </c>
      <c r="J215">
        <f t="shared" si="24"/>
        <v>1.95</v>
      </c>
      <c r="K215">
        <f t="shared" si="25"/>
        <v>1.8199999999999998</v>
      </c>
      <c r="L215">
        <f t="shared" si="26"/>
        <v>4.55</v>
      </c>
    </row>
    <row r="216" spans="1:12" x14ac:dyDescent="0.25">
      <c r="A216" s="1" t="s">
        <v>15</v>
      </c>
      <c r="B216" s="9" t="s">
        <v>651</v>
      </c>
      <c r="C216" s="3" t="s">
        <v>652</v>
      </c>
      <c r="D216" s="13" t="s">
        <v>653</v>
      </c>
      <c r="F216" s="5">
        <f t="shared" si="27"/>
        <v>9.1</v>
      </c>
      <c r="G216" s="11">
        <v>2.6</v>
      </c>
      <c r="H216" s="14">
        <v>6.5</v>
      </c>
      <c r="I216" s="1">
        <f t="shared" si="23"/>
        <v>0.78</v>
      </c>
      <c r="J216">
        <f t="shared" si="24"/>
        <v>1.95</v>
      </c>
      <c r="K216">
        <f t="shared" si="25"/>
        <v>1.8199999999999998</v>
      </c>
      <c r="L216">
        <f t="shared" si="26"/>
        <v>4.55</v>
      </c>
    </row>
    <row r="217" spans="1:12" x14ac:dyDescent="0.25">
      <c r="A217" s="1" t="s">
        <v>15</v>
      </c>
      <c r="B217" s="9" t="s">
        <v>654</v>
      </c>
      <c r="C217" s="3" t="s">
        <v>655</v>
      </c>
      <c r="D217" s="13" t="s">
        <v>656</v>
      </c>
      <c r="F217" s="5">
        <f t="shared" si="27"/>
        <v>9.1</v>
      </c>
      <c r="G217" s="11">
        <v>2.6</v>
      </c>
      <c r="H217" s="14">
        <v>6.5</v>
      </c>
      <c r="I217" s="1">
        <f t="shared" si="23"/>
        <v>0.78</v>
      </c>
      <c r="J217">
        <f t="shared" si="24"/>
        <v>1.95</v>
      </c>
      <c r="K217">
        <f t="shared" si="25"/>
        <v>1.8199999999999998</v>
      </c>
      <c r="L217">
        <f t="shared" si="26"/>
        <v>4.55</v>
      </c>
    </row>
    <row r="218" spans="1:12" x14ac:dyDescent="0.25">
      <c r="A218" s="1" t="s">
        <v>15</v>
      </c>
      <c r="B218" s="9" t="s">
        <v>657</v>
      </c>
      <c r="C218" s="3" t="s">
        <v>658</v>
      </c>
      <c r="D218" s="13" t="s">
        <v>659</v>
      </c>
      <c r="F218" s="5">
        <f t="shared" si="27"/>
        <v>57.2</v>
      </c>
      <c r="G218" s="11">
        <v>2.6</v>
      </c>
      <c r="H218" s="14">
        <v>54.6</v>
      </c>
      <c r="I218" s="1">
        <f t="shared" si="23"/>
        <v>0.78</v>
      </c>
      <c r="J218">
        <f t="shared" si="24"/>
        <v>16.38</v>
      </c>
      <c r="K218">
        <f t="shared" si="25"/>
        <v>1.8199999999999998</v>
      </c>
      <c r="L218">
        <f t="shared" si="26"/>
        <v>38.22</v>
      </c>
    </row>
    <row r="219" spans="1:12" x14ac:dyDescent="0.25">
      <c r="A219" s="1" t="s">
        <v>15</v>
      </c>
      <c r="B219" s="9" t="s">
        <v>660</v>
      </c>
      <c r="C219" s="3" t="s">
        <v>661</v>
      </c>
      <c r="D219" s="13" t="s">
        <v>662</v>
      </c>
      <c r="F219" s="5">
        <f t="shared" si="27"/>
        <v>93.600000000000009</v>
      </c>
      <c r="G219" s="11">
        <v>13</v>
      </c>
      <c r="H219" s="14">
        <v>80.600000000000009</v>
      </c>
      <c r="I219" s="1">
        <f t="shared" si="23"/>
        <v>3.9</v>
      </c>
      <c r="J219">
        <f t="shared" si="24"/>
        <v>24.180000000000003</v>
      </c>
      <c r="K219">
        <f t="shared" si="25"/>
        <v>9.1</v>
      </c>
      <c r="L219">
        <f t="shared" si="26"/>
        <v>56.42</v>
      </c>
    </row>
    <row r="220" spans="1:12" x14ac:dyDescent="0.25">
      <c r="A220" s="1" t="s">
        <v>15</v>
      </c>
      <c r="B220" s="9" t="s">
        <v>663</v>
      </c>
      <c r="C220" s="3" t="s">
        <v>664</v>
      </c>
      <c r="D220" s="13" t="s">
        <v>665</v>
      </c>
      <c r="F220" s="5">
        <f t="shared" si="27"/>
        <v>81.900000000000006</v>
      </c>
      <c r="G220" s="11">
        <v>23.400000000000002</v>
      </c>
      <c r="H220" s="14">
        <v>58.5</v>
      </c>
      <c r="I220" s="1">
        <f t="shared" si="23"/>
        <v>7.0200000000000005</v>
      </c>
      <c r="J220">
        <f t="shared" si="24"/>
        <v>17.55</v>
      </c>
      <c r="K220">
        <f t="shared" si="25"/>
        <v>16.38</v>
      </c>
      <c r="L220">
        <f t="shared" si="26"/>
        <v>40.949999999999996</v>
      </c>
    </row>
    <row r="221" spans="1:12" x14ac:dyDescent="0.25">
      <c r="A221" s="1" t="s">
        <v>15</v>
      </c>
      <c r="B221" s="9" t="s">
        <v>666</v>
      </c>
      <c r="C221" s="3" t="s">
        <v>667</v>
      </c>
      <c r="D221" s="13" t="s">
        <v>668</v>
      </c>
      <c r="F221" s="5">
        <f>G221+H221</f>
        <v>13</v>
      </c>
      <c r="G221" s="10">
        <v>0</v>
      </c>
      <c r="H221" s="7">
        <v>13</v>
      </c>
      <c r="I221" s="1">
        <f t="shared" si="23"/>
        <v>0</v>
      </c>
      <c r="J221">
        <f t="shared" si="24"/>
        <v>3.9</v>
      </c>
      <c r="K221">
        <f t="shared" si="25"/>
        <v>0</v>
      </c>
      <c r="L221">
        <f t="shared" si="26"/>
        <v>9.1</v>
      </c>
    </row>
    <row r="222" spans="1:12" x14ac:dyDescent="0.25">
      <c r="A222" s="1" t="s">
        <v>15</v>
      </c>
      <c r="B222" s="9" t="s">
        <v>669</v>
      </c>
      <c r="C222" s="3" t="s">
        <v>670</v>
      </c>
      <c r="D222" s="13" t="s">
        <v>671</v>
      </c>
      <c r="F222" s="5">
        <f t="shared" si="27"/>
        <v>61.1</v>
      </c>
      <c r="G222" s="11">
        <v>15.600000000000001</v>
      </c>
      <c r="H222" s="14">
        <v>45.5</v>
      </c>
      <c r="I222" s="1">
        <f t="shared" si="23"/>
        <v>4.6800000000000006</v>
      </c>
      <c r="J222">
        <f t="shared" si="24"/>
        <v>13.65</v>
      </c>
      <c r="K222">
        <f t="shared" si="25"/>
        <v>10.92</v>
      </c>
      <c r="L222">
        <f t="shared" si="26"/>
        <v>31.849999999999998</v>
      </c>
    </row>
    <row r="223" spans="1:12" x14ac:dyDescent="0.25">
      <c r="A223" s="1" t="s">
        <v>15</v>
      </c>
      <c r="B223" s="9" t="s">
        <v>672</v>
      </c>
      <c r="C223" s="3" t="s">
        <v>673</v>
      </c>
      <c r="D223" s="4" t="s">
        <v>674</v>
      </c>
      <c r="F223" s="5">
        <f>G223+H223</f>
        <v>45.5</v>
      </c>
      <c r="G223" s="10">
        <v>45.5</v>
      </c>
      <c r="H223" s="7">
        <v>0</v>
      </c>
      <c r="I223" s="1">
        <f t="shared" si="23"/>
        <v>13.65</v>
      </c>
      <c r="J223">
        <f t="shared" si="24"/>
        <v>0</v>
      </c>
      <c r="K223">
        <f t="shared" si="25"/>
        <v>31.849999999999998</v>
      </c>
      <c r="L223">
        <f t="shared" si="26"/>
        <v>0</v>
      </c>
    </row>
    <row r="224" spans="1:12" x14ac:dyDescent="0.25">
      <c r="A224" s="1" t="s">
        <v>15</v>
      </c>
      <c r="B224" s="9" t="s">
        <v>675</v>
      </c>
      <c r="C224" s="3" t="s">
        <v>676</v>
      </c>
      <c r="D224" s="4" t="s">
        <v>677</v>
      </c>
      <c r="F224" s="5">
        <f>G224+H224</f>
        <v>39</v>
      </c>
      <c r="G224" s="10">
        <v>39</v>
      </c>
      <c r="H224" s="7">
        <v>0</v>
      </c>
      <c r="I224" s="1">
        <f t="shared" si="23"/>
        <v>11.7</v>
      </c>
      <c r="J224">
        <f t="shared" si="24"/>
        <v>0</v>
      </c>
      <c r="K224">
        <f t="shared" si="25"/>
        <v>27.299999999999997</v>
      </c>
      <c r="L224">
        <f t="shared" si="26"/>
        <v>0</v>
      </c>
    </row>
    <row r="225" spans="1:12" x14ac:dyDescent="0.25">
      <c r="A225" s="1" t="s">
        <v>15</v>
      </c>
      <c r="B225" s="9" t="s">
        <v>678</v>
      </c>
      <c r="C225" s="3" t="s">
        <v>679</v>
      </c>
      <c r="D225" s="4" t="s">
        <v>680</v>
      </c>
      <c r="F225" s="5">
        <f>G225+H225</f>
        <v>23.400000000000002</v>
      </c>
      <c r="G225" s="10">
        <v>23.400000000000002</v>
      </c>
      <c r="H225" s="7">
        <v>0</v>
      </c>
      <c r="I225" s="1">
        <f t="shared" si="23"/>
        <v>7.0200000000000005</v>
      </c>
      <c r="J225">
        <f t="shared" si="24"/>
        <v>0</v>
      </c>
      <c r="K225">
        <f t="shared" si="25"/>
        <v>16.38</v>
      </c>
      <c r="L225">
        <f t="shared" si="26"/>
        <v>0</v>
      </c>
    </row>
    <row r="226" spans="1:12" x14ac:dyDescent="0.25">
      <c r="A226" s="1" t="s">
        <v>15</v>
      </c>
      <c r="B226" s="9" t="s">
        <v>681</v>
      </c>
      <c r="C226" s="3" t="s">
        <v>682</v>
      </c>
      <c r="D226" s="13" t="s">
        <v>683</v>
      </c>
      <c r="F226" s="5">
        <f>G226+H226</f>
        <v>39</v>
      </c>
      <c r="G226" s="11">
        <v>13</v>
      </c>
      <c r="H226" s="14">
        <v>26</v>
      </c>
      <c r="I226" s="1">
        <f t="shared" si="23"/>
        <v>3.9</v>
      </c>
      <c r="J226">
        <f t="shared" si="24"/>
        <v>7.8</v>
      </c>
      <c r="K226">
        <f t="shared" si="25"/>
        <v>9.1</v>
      </c>
      <c r="L226">
        <f t="shared" si="26"/>
        <v>18.2</v>
      </c>
    </row>
    <row r="227" spans="1:12" x14ac:dyDescent="0.25">
      <c r="A227" s="1" t="s">
        <v>15</v>
      </c>
      <c r="B227" s="9" t="s">
        <v>684</v>
      </c>
      <c r="C227" s="3" t="s">
        <v>685</v>
      </c>
      <c r="D227" s="13" t="s">
        <v>686</v>
      </c>
      <c r="F227" s="5">
        <f>G227+H227</f>
        <v>39</v>
      </c>
      <c r="G227" s="11">
        <v>13</v>
      </c>
      <c r="H227" s="14">
        <v>26</v>
      </c>
      <c r="I227" s="1">
        <f t="shared" si="23"/>
        <v>3.9</v>
      </c>
      <c r="J227">
        <f t="shared" si="24"/>
        <v>7.8</v>
      </c>
      <c r="K227">
        <f t="shared" si="25"/>
        <v>9.1</v>
      </c>
      <c r="L227">
        <f t="shared" si="26"/>
        <v>18.2</v>
      </c>
    </row>
    <row r="228" spans="1:12" x14ac:dyDescent="0.25">
      <c r="A228" s="1" t="s">
        <v>15</v>
      </c>
      <c r="B228" s="9" t="s">
        <v>687</v>
      </c>
      <c r="C228" s="3" t="s">
        <v>688</v>
      </c>
      <c r="D228" s="4" t="s">
        <v>689</v>
      </c>
      <c r="F228" s="5">
        <f t="shared" ref="F228:F234" si="28">G228+H228</f>
        <v>110.5</v>
      </c>
      <c r="G228" s="10">
        <v>2.6</v>
      </c>
      <c r="H228" s="7">
        <v>107.9</v>
      </c>
      <c r="I228" s="1">
        <f t="shared" si="23"/>
        <v>0.78</v>
      </c>
      <c r="J228">
        <f t="shared" si="24"/>
        <v>32.369999999999997</v>
      </c>
      <c r="K228">
        <f t="shared" si="25"/>
        <v>1.8199999999999998</v>
      </c>
      <c r="L228">
        <f t="shared" si="26"/>
        <v>75.53</v>
      </c>
    </row>
    <row r="229" spans="1:12" x14ac:dyDescent="0.25">
      <c r="A229" s="1" t="s">
        <v>15</v>
      </c>
      <c r="B229" s="9" t="s">
        <v>690</v>
      </c>
      <c r="C229" s="3" t="s">
        <v>691</v>
      </c>
      <c r="D229" s="4" t="s">
        <v>692</v>
      </c>
      <c r="F229" s="5">
        <f t="shared" si="28"/>
        <v>35.1</v>
      </c>
      <c r="G229" s="10">
        <v>2.6</v>
      </c>
      <c r="H229" s="7">
        <v>32.5</v>
      </c>
      <c r="I229" s="1">
        <f t="shared" si="23"/>
        <v>0.78</v>
      </c>
      <c r="J229">
        <f t="shared" si="24"/>
        <v>9.75</v>
      </c>
      <c r="K229">
        <f t="shared" si="25"/>
        <v>1.8199999999999998</v>
      </c>
      <c r="L229">
        <f t="shared" si="26"/>
        <v>22.75</v>
      </c>
    </row>
    <row r="230" spans="1:12" x14ac:dyDescent="0.25">
      <c r="A230" s="1" t="s">
        <v>15</v>
      </c>
      <c r="B230" s="9" t="s">
        <v>693</v>
      </c>
      <c r="C230" s="3" t="s">
        <v>694</v>
      </c>
      <c r="D230" s="4" t="s">
        <v>695</v>
      </c>
      <c r="F230" s="5">
        <f t="shared" si="28"/>
        <v>39</v>
      </c>
      <c r="G230" s="11">
        <v>2.6</v>
      </c>
      <c r="H230" s="14">
        <v>36.4</v>
      </c>
      <c r="I230" s="1">
        <f t="shared" si="23"/>
        <v>0.78</v>
      </c>
      <c r="J230">
        <f t="shared" si="24"/>
        <v>10.92</v>
      </c>
      <c r="K230">
        <f t="shared" si="25"/>
        <v>1.8199999999999998</v>
      </c>
      <c r="L230">
        <f t="shared" si="26"/>
        <v>25.479999999999997</v>
      </c>
    </row>
    <row r="231" spans="1:12" x14ac:dyDescent="0.25">
      <c r="A231" s="1" t="s">
        <v>15</v>
      </c>
      <c r="B231" s="9" t="s">
        <v>696</v>
      </c>
      <c r="C231" s="3" t="s">
        <v>697</v>
      </c>
      <c r="D231" s="4" t="s">
        <v>698</v>
      </c>
      <c r="F231" s="5">
        <f t="shared" si="28"/>
        <v>35.1</v>
      </c>
      <c r="G231" s="11">
        <v>2.6</v>
      </c>
      <c r="H231" s="14">
        <v>32.5</v>
      </c>
      <c r="I231" s="1">
        <f t="shared" si="23"/>
        <v>0.78</v>
      </c>
      <c r="J231">
        <f t="shared" si="24"/>
        <v>9.75</v>
      </c>
      <c r="K231">
        <f t="shared" si="25"/>
        <v>1.8199999999999998</v>
      </c>
      <c r="L231">
        <f t="shared" si="26"/>
        <v>22.75</v>
      </c>
    </row>
    <row r="232" spans="1:12" x14ac:dyDescent="0.25">
      <c r="A232" s="1" t="s">
        <v>15</v>
      </c>
      <c r="B232" s="9" t="s">
        <v>699</v>
      </c>
      <c r="C232" s="3" t="s">
        <v>700</v>
      </c>
      <c r="D232" s="4" t="s">
        <v>701</v>
      </c>
      <c r="F232" s="5">
        <f t="shared" si="28"/>
        <v>36.400000000000006</v>
      </c>
      <c r="G232" s="10">
        <v>6.5</v>
      </c>
      <c r="H232" s="7">
        <v>29.900000000000002</v>
      </c>
      <c r="I232" s="1">
        <f t="shared" si="23"/>
        <v>1.95</v>
      </c>
      <c r="J232">
        <f t="shared" si="24"/>
        <v>8.9700000000000006</v>
      </c>
      <c r="K232">
        <f t="shared" si="25"/>
        <v>4.55</v>
      </c>
      <c r="L232">
        <f t="shared" si="26"/>
        <v>20.93</v>
      </c>
    </row>
    <row r="233" spans="1:12" x14ac:dyDescent="0.25">
      <c r="A233" s="1" t="s">
        <v>15</v>
      </c>
      <c r="B233" s="9" t="s">
        <v>702</v>
      </c>
      <c r="C233" s="3" t="s">
        <v>703</v>
      </c>
      <c r="D233" s="4" t="s">
        <v>704</v>
      </c>
      <c r="F233" s="5">
        <f t="shared" si="28"/>
        <v>32.5</v>
      </c>
      <c r="G233" s="10">
        <v>6.5</v>
      </c>
      <c r="H233" s="7">
        <v>26</v>
      </c>
      <c r="I233" s="1">
        <f t="shared" si="23"/>
        <v>1.95</v>
      </c>
      <c r="J233">
        <f t="shared" si="24"/>
        <v>7.8</v>
      </c>
      <c r="K233">
        <f t="shared" si="25"/>
        <v>4.55</v>
      </c>
      <c r="L233">
        <f t="shared" si="26"/>
        <v>18.2</v>
      </c>
    </row>
    <row r="234" spans="1:12" x14ac:dyDescent="0.25">
      <c r="A234" s="1" t="s">
        <v>15</v>
      </c>
      <c r="B234" s="9" t="s">
        <v>705</v>
      </c>
      <c r="C234" s="3" t="s">
        <v>706</v>
      </c>
      <c r="D234" s="4" t="s">
        <v>707</v>
      </c>
      <c r="F234" s="5">
        <f t="shared" si="28"/>
        <v>45.5</v>
      </c>
      <c r="G234" s="10">
        <v>2.6</v>
      </c>
      <c r="H234" s="7">
        <v>42.9</v>
      </c>
      <c r="I234" s="1">
        <f t="shared" si="23"/>
        <v>0.78</v>
      </c>
      <c r="J234">
        <f t="shared" si="24"/>
        <v>12.87</v>
      </c>
      <c r="K234">
        <f t="shared" si="25"/>
        <v>1.8199999999999998</v>
      </c>
      <c r="L234">
        <f t="shared" si="26"/>
        <v>30.029999999999998</v>
      </c>
    </row>
    <row r="235" spans="1:12" x14ac:dyDescent="0.25">
      <c r="A235" s="1" t="s">
        <v>15</v>
      </c>
      <c r="B235" s="9" t="s">
        <v>708</v>
      </c>
      <c r="C235" s="3" t="s">
        <v>709</v>
      </c>
      <c r="D235" s="13" t="s">
        <v>710</v>
      </c>
      <c r="F235" s="5">
        <f>G235+H235</f>
        <v>6.5</v>
      </c>
      <c r="G235" s="11">
        <v>1.3</v>
      </c>
      <c r="H235" s="7">
        <v>5.2</v>
      </c>
      <c r="I235" s="1">
        <f t="shared" si="23"/>
        <v>0.39</v>
      </c>
      <c r="J235">
        <f t="shared" si="24"/>
        <v>1.56</v>
      </c>
      <c r="K235">
        <f t="shared" si="25"/>
        <v>0.90999999999999992</v>
      </c>
      <c r="L235">
        <f t="shared" si="26"/>
        <v>3.6399999999999997</v>
      </c>
    </row>
    <row r="236" spans="1:12" x14ac:dyDescent="0.25">
      <c r="A236" s="1" t="s">
        <v>15</v>
      </c>
      <c r="B236" s="9" t="s">
        <v>711</v>
      </c>
      <c r="C236" s="3" t="s">
        <v>712</v>
      </c>
      <c r="D236" s="4" t="s">
        <v>713</v>
      </c>
      <c r="F236" s="5">
        <f t="shared" ref="F236:F241" si="29">G236+H236</f>
        <v>39</v>
      </c>
      <c r="G236" s="10">
        <v>13</v>
      </c>
      <c r="H236" s="7">
        <v>26</v>
      </c>
      <c r="I236" s="1">
        <f t="shared" si="23"/>
        <v>3.9</v>
      </c>
      <c r="J236">
        <f t="shared" si="24"/>
        <v>7.8</v>
      </c>
      <c r="K236">
        <f t="shared" si="25"/>
        <v>9.1</v>
      </c>
      <c r="L236">
        <f t="shared" si="26"/>
        <v>18.2</v>
      </c>
    </row>
    <row r="237" spans="1:12" x14ac:dyDescent="0.25">
      <c r="A237" s="1" t="s">
        <v>15</v>
      </c>
      <c r="B237" s="9" t="s">
        <v>714</v>
      </c>
      <c r="C237" s="3" t="s">
        <v>715</v>
      </c>
      <c r="D237" s="4" t="s">
        <v>716</v>
      </c>
      <c r="F237" s="5">
        <f t="shared" si="29"/>
        <v>39</v>
      </c>
      <c r="G237" s="10">
        <v>13</v>
      </c>
      <c r="H237" s="7">
        <v>26</v>
      </c>
      <c r="I237" s="1">
        <f t="shared" si="23"/>
        <v>3.9</v>
      </c>
      <c r="J237">
        <f t="shared" si="24"/>
        <v>7.8</v>
      </c>
      <c r="K237">
        <f t="shared" si="25"/>
        <v>9.1</v>
      </c>
      <c r="L237">
        <f t="shared" si="26"/>
        <v>18.2</v>
      </c>
    </row>
    <row r="238" spans="1:12" x14ac:dyDescent="0.25">
      <c r="A238" s="1" t="s">
        <v>15</v>
      </c>
      <c r="B238" s="9" t="s">
        <v>717</v>
      </c>
      <c r="C238" s="3" t="s">
        <v>718</v>
      </c>
      <c r="D238" s="4" t="s">
        <v>719</v>
      </c>
      <c r="F238" s="5">
        <f t="shared" si="29"/>
        <v>71.5</v>
      </c>
      <c r="G238" s="10">
        <v>26</v>
      </c>
      <c r="H238" s="7">
        <v>45.5</v>
      </c>
      <c r="I238" s="1">
        <f t="shared" si="23"/>
        <v>7.8</v>
      </c>
      <c r="J238">
        <f t="shared" si="24"/>
        <v>13.65</v>
      </c>
      <c r="K238">
        <f t="shared" si="25"/>
        <v>18.2</v>
      </c>
      <c r="L238">
        <f t="shared" si="26"/>
        <v>31.849999999999998</v>
      </c>
    </row>
    <row r="239" spans="1:12" x14ac:dyDescent="0.25">
      <c r="A239" s="1" t="s">
        <v>15</v>
      </c>
      <c r="B239" s="9" t="s">
        <v>720</v>
      </c>
      <c r="C239" s="3" t="s">
        <v>721</v>
      </c>
      <c r="D239" s="4" t="s">
        <v>722</v>
      </c>
      <c r="F239" s="5">
        <f t="shared" si="29"/>
        <v>29.900000000000002</v>
      </c>
      <c r="G239" s="10">
        <v>6.5</v>
      </c>
      <c r="H239" s="7">
        <v>23.400000000000002</v>
      </c>
      <c r="I239" s="1">
        <f t="shared" si="23"/>
        <v>1.95</v>
      </c>
      <c r="J239">
        <f t="shared" si="24"/>
        <v>7.0200000000000005</v>
      </c>
      <c r="K239">
        <f t="shared" si="25"/>
        <v>4.55</v>
      </c>
      <c r="L239">
        <f t="shared" si="26"/>
        <v>16.38</v>
      </c>
    </row>
    <row r="240" spans="1:12" x14ac:dyDescent="0.25">
      <c r="A240" s="1" t="s">
        <v>15</v>
      </c>
      <c r="B240" s="9" t="s">
        <v>723</v>
      </c>
      <c r="C240" s="3" t="s">
        <v>724</v>
      </c>
      <c r="D240" s="4" t="s">
        <v>725</v>
      </c>
      <c r="F240" s="5">
        <f t="shared" si="29"/>
        <v>41.6</v>
      </c>
      <c r="G240" s="10">
        <v>6.5</v>
      </c>
      <c r="H240" s="7">
        <v>35.1</v>
      </c>
      <c r="I240" s="1">
        <f t="shared" si="23"/>
        <v>1.95</v>
      </c>
      <c r="J240">
        <f t="shared" si="24"/>
        <v>10.53</v>
      </c>
      <c r="K240">
        <f t="shared" si="25"/>
        <v>4.55</v>
      </c>
      <c r="L240">
        <f t="shared" si="26"/>
        <v>24.57</v>
      </c>
    </row>
    <row r="241" spans="1:12" x14ac:dyDescent="0.25">
      <c r="A241" s="1" t="s">
        <v>15</v>
      </c>
      <c r="B241" s="9" t="s">
        <v>726</v>
      </c>
      <c r="C241" s="3" t="s">
        <v>727</v>
      </c>
      <c r="D241" s="4" t="s">
        <v>728</v>
      </c>
      <c r="F241" s="5">
        <f t="shared" si="29"/>
        <v>19.500000000000004</v>
      </c>
      <c r="G241" s="10">
        <v>2.6</v>
      </c>
      <c r="H241" s="7">
        <v>16.900000000000002</v>
      </c>
      <c r="I241" s="1">
        <f t="shared" si="23"/>
        <v>0.78</v>
      </c>
      <c r="J241">
        <f t="shared" si="24"/>
        <v>5.07</v>
      </c>
      <c r="K241">
        <f t="shared" si="25"/>
        <v>1.8199999999999998</v>
      </c>
      <c r="L241">
        <f t="shared" si="26"/>
        <v>11.83</v>
      </c>
    </row>
    <row r="242" spans="1:12" x14ac:dyDescent="0.25">
      <c r="A242" s="1" t="s">
        <v>15</v>
      </c>
      <c r="B242" s="9" t="s">
        <v>729</v>
      </c>
      <c r="C242" s="3" t="s">
        <v>730</v>
      </c>
      <c r="D242" s="4" t="s">
        <v>731</v>
      </c>
      <c r="F242" s="5">
        <f>G242+H242</f>
        <v>32.5</v>
      </c>
      <c r="G242" s="6">
        <v>6.5</v>
      </c>
      <c r="H242" s="8">
        <v>26</v>
      </c>
      <c r="I242" s="1">
        <f t="shared" si="23"/>
        <v>1.95</v>
      </c>
      <c r="J242">
        <f t="shared" si="24"/>
        <v>7.8</v>
      </c>
      <c r="K242">
        <f t="shared" si="25"/>
        <v>4.55</v>
      </c>
      <c r="L242">
        <f t="shared" si="26"/>
        <v>18.2</v>
      </c>
    </row>
    <row r="243" spans="1:12" x14ac:dyDescent="0.25">
      <c r="A243" s="1" t="s">
        <v>15</v>
      </c>
      <c r="B243" s="9" t="s">
        <v>732</v>
      </c>
      <c r="C243" s="3" t="s">
        <v>733</v>
      </c>
      <c r="D243" s="4" t="s">
        <v>734</v>
      </c>
      <c r="F243" s="5">
        <f>G243+H243</f>
        <v>41.6</v>
      </c>
      <c r="G243" s="6">
        <v>10.4</v>
      </c>
      <c r="H243" s="8">
        <v>31.200000000000003</v>
      </c>
      <c r="I243" s="1">
        <f t="shared" si="23"/>
        <v>3.12</v>
      </c>
      <c r="J243">
        <f t="shared" si="24"/>
        <v>9.3600000000000012</v>
      </c>
      <c r="K243">
        <f t="shared" si="25"/>
        <v>7.2799999999999994</v>
      </c>
      <c r="L243">
        <f t="shared" si="26"/>
        <v>21.84</v>
      </c>
    </row>
    <row r="244" spans="1:12" x14ac:dyDescent="0.25">
      <c r="A244" s="1" t="s">
        <v>15</v>
      </c>
      <c r="B244" s="9" t="s">
        <v>735</v>
      </c>
      <c r="C244" s="3" t="s">
        <v>736</v>
      </c>
      <c r="D244" s="4" t="s">
        <v>737</v>
      </c>
      <c r="F244" s="5"/>
      <c r="G244" s="6"/>
      <c r="H244" s="8"/>
      <c r="I244" s="1">
        <f t="shared" si="23"/>
        <v>0</v>
      </c>
      <c r="J244">
        <f t="shared" si="24"/>
        <v>0</v>
      </c>
      <c r="K244">
        <f t="shared" si="25"/>
        <v>0</v>
      </c>
      <c r="L244">
        <f t="shared" si="26"/>
        <v>0</v>
      </c>
    </row>
    <row r="245" spans="1:12" x14ac:dyDescent="0.25">
      <c r="A245" s="1" t="s">
        <v>15</v>
      </c>
      <c r="B245" s="9" t="s">
        <v>738</v>
      </c>
      <c r="C245" s="3" t="s">
        <v>739</v>
      </c>
      <c r="D245" s="4" t="s">
        <v>740</v>
      </c>
      <c r="F245" s="5">
        <f>G245+H245</f>
        <v>36.4</v>
      </c>
      <c r="G245" s="10">
        <v>10.4</v>
      </c>
      <c r="H245" s="7">
        <v>26</v>
      </c>
      <c r="I245" s="1">
        <f t="shared" si="23"/>
        <v>3.12</v>
      </c>
      <c r="J245">
        <f t="shared" si="24"/>
        <v>7.8</v>
      </c>
      <c r="K245">
        <f t="shared" si="25"/>
        <v>7.2799999999999994</v>
      </c>
      <c r="L245">
        <f t="shared" si="26"/>
        <v>18.2</v>
      </c>
    </row>
    <row r="246" spans="1:12" x14ac:dyDescent="0.25">
      <c r="A246" s="1" t="s">
        <v>15</v>
      </c>
      <c r="B246" s="9" t="s">
        <v>741</v>
      </c>
      <c r="C246" s="3"/>
      <c r="D246" s="4"/>
      <c r="F246" s="4"/>
      <c r="G246" s="25"/>
      <c r="H246" s="4"/>
      <c r="I246" s="1">
        <f t="shared" si="23"/>
        <v>0</v>
      </c>
      <c r="J246">
        <f t="shared" si="24"/>
        <v>0</v>
      </c>
      <c r="K246">
        <f t="shared" si="25"/>
        <v>0</v>
      </c>
      <c r="L246">
        <f t="shared" si="26"/>
        <v>0</v>
      </c>
    </row>
    <row r="247" spans="1:12" x14ac:dyDescent="0.25">
      <c r="A247" s="1" t="s">
        <v>15</v>
      </c>
      <c r="B247" s="9" t="s">
        <v>742</v>
      </c>
      <c r="C247" s="3" t="s">
        <v>743</v>
      </c>
      <c r="D247" s="4" t="s">
        <v>744</v>
      </c>
      <c r="F247" s="5">
        <f>G247+H247</f>
        <v>19.500000000000004</v>
      </c>
      <c r="G247" s="10">
        <v>2.6</v>
      </c>
      <c r="H247" s="7">
        <v>16.900000000000002</v>
      </c>
      <c r="I247" s="1">
        <f t="shared" si="23"/>
        <v>0.78</v>
      </c>
      <c r="J247">
        <f t="shared" si="24"/>
        <v>5.07</v>
      </c>
      <c r="K247">
        <f t="shared" si="25"/>
        <v>1.8199999999999998</v>
      </c>
      <c r="L247">
        <f t="shared" si="26"/>
        <v>11.83</v>
      </c>
    </row>
    <row r="248" spans="1:12" ht="60" x14ac:dyDescent="0.25">
      <c r="A248" s="1" t="s">
        <v>15</v>
      </c>
      <c r="B248" s="9" t="s">
        <v>745</v>
      </c>
      <c r="C248" s="3" t="s">
        <v>746</v>
      </c>
      <c r="D248" s="26" t="s">
        <v>747</v>
      </c>
      <c r="F248" s="5">
        <f>G248+H248</f>
        <v>19.500000000000004</v>
      </c>
      <c r="G248" s="10">
        <v>2.6</v>
      </c>
      <c r="H248" s="7">
        <v>16.900000000000002</v>
      </c>
      <c r="I248" s="1">
        <f t="shared" si="23"/>
        <v>0.78</v>
      </c>
      <c r="J248">
        <f t="shared" si="24"/>
        <v>5.07</v>
      </c>
      <c r="K248">
        <f t="shared" si="25"/>
        <v>1.8199999999999998</v>
      </c>
      <c r="L248">
        <f t="shared" si="26"/>
        <v>11.83</v>
      </c>
    </row>
    <row r="249" spans="1:12" x14ac:dyDescent="0.25">
      <c r="A249" s="1" t="s">
        <v>15</v>
      </c>
      <c r="B249" s="9" t="s">
        <v>748</v>
      </c>
      <c r="C249" s="3" t="s">
        <v>749</v>
      </c>
      <c r="D249" s="4" t="s">
        <v>750</v>
      </c>
      <c r="F249" s="5">
        <f>G249+H249</f>
        <v>19.500000000000004</v>
      </c>
      <c r="G249" s="10">
        <v>2.6</v>
      </c>
      <c r="H249" s="7">
        <v>16.900000000000002</v>
      </c>
      <c r="I249" s="1">
        <f t="shared" si="23"/>
        <v>0.78</v>
      </c>
      <c r="J249">
        <f t="shared" si="24"/>
        <v>5.07</v>
      </c>
      <c r="K249">
        <f t="shared" si="25"/>
        <v>1.8199999999999998</v>
      </c>
      <c r="L249">
        <f t="shared" si="26"/>
        <v>11.83</v>
      </c>
    </row>
    <row r="250" spans="1:12" x14ac:dyDescent="0.25">
      <c r="A250" s="1" t="s">
        <v>15</v>
      </c>
      <c r="B250" s="9" t="s">
        <v>751</v>
      </c>
      <c r="C250" s="3" t="s">
        <v>752</v>
      </c>
      <c r="D250" s="4" t="s">
        <v>753</v>
      </c>
      <c r="F250" s="5">
        <f t="shared" ref="F250:F256" si="30">G250+H250</f>
        <v>94.9</v>
      </c>
      <c r="G250" s="10">
        <v>26</v>
      </c>
      <c r="H250" s="7">
        <v>68.900000000000006</v>
      </c>
      <c r="I250" s="1">
        <f t="shared" si="23"/>
        <v>7.8</v>
      </c>
      <c r="J250">
        <f t="shared" si="24"/>
        <v>20.67</v>
      </c>
      <c r="K250">
        <f t="shared" si="25"/>
        <v>18.2</v>
      </c>
      <c r="L250">
        <f t="shared" si="26"/>
        <v>48.230000000000004</v>
      </c>
    </row>
    <row r="251" spans="1:12" x14ac:dyDescent="0.25">
      <c r="A251" s="1" t="s">
        <v>15</v>
      </c>
      <c r="B251" s="9" t="s">
        <v>754</v>
      </c>
      <c r="C251" s="3" t="s">
        <v>755</v>
      </c>
      <c r="D251" s="4" t="s">
        <v>756</v>
      </c>
      <c r="F251" s="5">
        <f t="shared" si="30"/>
        <v>71.5</v>
      </c>
      <c r="G251" s="10">
        <v>13</v>
      </c>
      <c r="H251" s="7">
        <v>58.5</v>
      </c>
      <c r="I251" s="1">
        <f t="shared" si="23"/>
        <v>3.9</v>
      </c>
      <c r="J251">
        <f t="shared" si="24"/>
        <v>17.55</v>
      </c>
      <c r="K251">
        <f t="shared" si="25"/>
        <v>9.1</v>
      </c>
      <c r="L251">
        <f t="shared" si="26"/>
        <v>40.949999999999996</v>
      </c>
    </row>
    <row r="252" spans="1:12" x14ac:dyDescent="0.25">
      <c r="A252" s="1" t="s">
        <v>15</v>
      </c>
      <c r="B252" s="9" t="s">
        <v>757</v>
      </c>
      <c r="C252" s="3" t="s">
        <v>758</v>
      </c>
      <c r="D252" s="4" t="s">
        <v>759</v>
      </c>
      <c r="F252" s="5">
        <f t="shared" si="30"/>
        <v>19.500000000000004</v>
      </c>
      <c r="G252" s="10">
        <v>2.6</v>
      </c>
      <c r="H252" s="7">
        <v>16.900000000000002</v>
      </c>
      <c r="I252" s="1">
        <f t="shared" si="23"/>
        <v>0.78</v>
      </c>
      <c r="J252">
        <f t="shared" si="24"/>
        <v>5.07</v>
      </c>
      <c r="K252">
        <f t="shared" si="25"/>
        <v>1.8199999999999998</v>
      </c>
      <c r="L252">
        <f t="shared" si="26"/>
        <v>11.83</v>
      </c>
    </row>
    <row r="253" spans="1:12" x14ac:dyDescent="0.25">
      <c r="A253" s="1" t="s">
        <v>15</v>
      </c>
      <c r="B253" s="9" t="s">
        <v>760</v>
      </c>
      <c r="C253" s="3" t="s">
        <v>761</v>
      </c>
      <c r="D253" s="12" t="s">
        <v>762</v>
      </c>
      <c r="F253" s="5">
        <f t="shared" si="30"/>
        <v>39</v>
      </c>
      <c r="G253" s="6">
        <v>13</v>
      </c>
      <c r="H253" s="8">
        <v>26</v>
      </c>
      <c r="I253" s="1">
        <f t="shared" si="23"/>
        <v>3.9</v>
      </c>
      <c r="J253">
        <f t="shared" si="24"/>
        <v>7.8</v>
      </c>
      <c r="K253">
        <f t="shared" si="25"/>
        <v>9.1</v>
      </c>
      <c r="L253">
        <f t="shared" si="26"/>
        <v>18.2</v>
      </c>
    </row>
    <row r="254" spans="1:12" x14ac:dyDescent="0.25">
      <c r="A254" s="1" t="s">
        <v>15</v>
      </c>
      <c r="B254" s="9" t="s">
        <v>763</v>
      </c>
      <c r="C254" s="3" t="s">
        <v>764</v>
      </c>
      <c r="D254" s="12" t="s">
        <v>765</v>
      </c>
      <c r="F254" s="5">
        <f t="shared" si="30"/>
        <v>35.1</v>
      </c>
      <c r="G254" s="6">
        <v>2.6</v>
      </c>
      <c r="H254" s="8">
        <v>32.5</v>
      </c>
      <c r="I254" s="1">
        <f t="shared" si="23"/>
        <v>0.78</v>
      </c>
      <c r="J254">
        <f t="shared" si="24"/>
        <v>9.75</v>
      </c>
      <c r="K254">
        <f t="shared" si="25"/>
        <v>1.8199999999999998</v>
      </c>
      <c r="L254">
        <f t="shared" si="26"/>
        <v>22.75</v>
      </c>
    </row>
    <row r="255" spans="1:12" x14ac:dyDescent="0.25">
      <c r="A255" s="1" t="s">
        <v>15</v>
      </c>
      <c r="B255" s="9" t="s">
        <v>766</v>
      </c>
      <c r="C255" s="3" t="s">
        <v>767</v>
      </c>
      <c r="D255" s="12" t="s">
        <v>768</v>
      </c>
      <c r="F255" s="5">
        <f t="shared" si="30"/>
        <v>35.1</v>
      </c>
      <c r="G255" s="6">
        <v>2.6</v>
      </c>
      <c r="H255" s="8">
        <v>32.5</v>
      </c>
      <c r="I255" s="1">
        <f t="shared" si="23"/>
        <v>0.78</v>
      </c>
      <c r="J255">
        <f t="shared" si="24"/>
        <v>9.75</v>
      </c>
      <c r="K255">
        <f t="shared" si="25"/>
        <v>1.8199999999999998</v>
      </c>
      <c r="L255">
        <f t="shared" si="26"/>
        <v>22.75</v>
      </c>
    </row>
    <row r="256" spans="1:12" x14ac:dyDescent="0.25">
      <c r="A256" s="1" t="s">
        <v>15</v>
      </c>
      <c r="B256" s="9" t="s">
        <v>769</v>
      </c>
      <c r="C256" s="3" t="s">
        <v>770</v>
      </c>
      <c r="D256" s="4" t="s">
        <v>771</v>
      </c>
      <c r="F256" s="5">
        <f t="shared" si="30"/>
        <v>19.500000000000004</v>
      </c>
      <c r="G256" s="10">
        <v>2.6</v>
      </c>
      <c r="H256" s="7">
        <v>16.900000000000002</v>
      </c>
      <c r="I256" s="1">
        <f t="shared" si="23"/>
        <v>0.78</v>
      </c>
      <c r="J256">
        <f t="shared" si="24"/>
        <v>5.07</v>
      </c>
      <c r="K256">
        <f t="shared" si="25"/>
        <v>1.8199999999999998</v>
      </c>
      <c r="L256">
        <f t="shared" si="26"/>
        <v>11.83</v>
      </c>
    </row>
    <row r="257" spans="1:12" x14ac:dyDescent="0.25">
      <c r="A257" s="1" t="s">
        <v>15</v>
      </c>
      <c r="B257" s="9" t="s">
        <v>772</v>
      </c>
      <c r="C257" s="3" t="s">
        <v>773</v>
      </c>
      <c r="D257" s="4" t="s">
        <v>774</v>
      </c>
      <c r="F257" s="5">
        <f>G257+H257</f>
        <v>15.6</v>
      </c>
      <c r="G257" s="10">
        <v>2.6</v>
      </c>
      <c r="H257" s="7">
        <v>13</v>
      </c>
      <c r="I257" s="1">
        <f t="shared" si="23"/>
        <v>0.78</v>
      </c>
      <c r="J257">
        <f t="shared" si="24"/>
        <v>3.9</v>
      </c>
      <c r="K257">
        <f t="shared" si="25"/>
        <v>1.8199999999999998</v>
      </c>
      <c r="L257">
        <f t="shared" si="26"/>
        <v>9.1</v>
      </c>
    </row>
    <row r="258" spans="1:12" x14ac:dyDescent="0.25">
      <c r="A258" s="1" t="s">
        <v>15</v>
      </c>
      <c r="B258" s="9" t="s">
        <v>775</v>
      </c>
      <c r="C258" s="3" t="s">
        <v>776</v>
      </c>
      <c r="D258" s="4" t="s">
        <v>777</v>
      </c>
      <c r="F258" s="5">
        <f t="shared" ref="F258:F268" si="31">G258+H258</f>
        <v>58.5</v>
      </c>
      <c r="G258" s="6">
        <v>58.5</v>
      </c>
      <c r="H258" s="7">
        <v>0</v>
      </c>
      <c r="I258" s="1">
        <f t="shared" si="23"/>
        <v>17.55</v>
      </c>
      <c r="J258">
        <f t="shared" si="24"/>
        <v>0</v>
      </c>
      <c r="K258">
        <f t="shared" si="25"/>
        <v>40.949999999999996</v>
      </c>
      <c r="L258">
        <f t="shared" si="26"/>
        <v>0</v>
      </c>
    </row>
    <row r="259" spans="1:12" x14ac:dyDescent="0.25">
      <c r="A259" s="1" t="s">
        <v>15</v>
      </c>
      <c r="B259" s="9" t="s">
        <v>778</v>
      </c>
      <c r="C259" s="3" t="s">
        <v>779</v>
      </c>
      <c r="D259" s="4" t="s">
        <v>780</v>
      </c>
      <c r="F259" s="5">
        <f t="shared" si="31"/>
        <v>72.8</v>
      </c>
      <c r="G259" s="6">
        <v>72.8</v>
      </c>
      <c r="H259" s="7">
        <v>0</v>
      </c>
      <c r="I259" s="1">
        <f t="shared" si="23"/>
        <v>21.84</v>
      </c>
      <c r="J259">
        <f t="shared" si="24"/>
        <v>0</v>
      </c>
      <c r="K259">
        <f t="shared" si="25"/>
        <v>50.959999999999994</v>
      </c>
      <c r="L259">
        <f t="shared" si="26"/>
        <v>0</v>
      </c>
    </row>
    <row r="260" spans="1:12" x14ac:dyDescent="0.25">
      <c r="A260" s="1" t="s">
        <v>15</v>
      </c>
      <c r="B260" s="9" t="s">
        <v>781</v>
      </c>
      <c r="C260" s="3" t="s">
        <v>782</v>
      </c>
      <c r="D260" s="4" t="s">
        <v>783</v>
      </c>
      <c r="F260" s="5">
        <f t="shared" si="31"/>
        <v>97.5</v>
      </c>
      <c r="G260" s="6">
        <v>97.5</v>
      </c>
      <c r="H260" s="7">
        <v>0</v>
      </c>
      <c r="I260" s="1">
        <f t="shared" ref="I260:I323" si="32">G260*0.3</f>
        <v>29.25</v>
      </c>
      <c r="J260">
        <f t="shared" ref="J260:J323" si="33">H260*0.3</f>
        <v>0</v>
      </c>
      <c r="K260">
        <f t="shared" ref="K260:K323" si="34">G260*0.7</f>
        <v>68.25</v>
      </c>
      <c r="L260">
        <f t="shared" ref="L260:L323" si="35">H260*0.7</f>
        <v>0</v>
      </c>
    </row>
    <row r="261" spans="1:12" x14ac:dyDescent="0.25">
      <c r="A261" s="1" t="s">
        <v>15</v>
      </c>
      <c r="B261" s="9" t="s">
        <v>784</v>
      </c>
      <c r="C261" s="3" t="s">
        <v>785</v>
      </c>
      <c r="D261" s="13" t="s">
        <v>786</v>
      </c>
      <c r="F261" s="5">
        <f t="shared" si="31"/>
        <v>71.5</v>
      </c>
      <c r="G261" s="6">
        <v>71.5</v>
      </c>
      <c r="H261" s="14">
        <v>0</v>
      </c>
      <c r="I261" s="1">
        <f t="shared" si="32"/>
        <v>21.45</v>
      </c>
      <c r="J261">
        <f t="shared" si="33"/>
        <v>0</v>
      </c>
      <c r="K261">
        <f t="shared" si="34"/>
        <v>50.05</v>
      </c>
      <c r="L261">
        <f t="shared" si="35"/>
        <v>0</v>
      </c>
    </row>
    <row r="262" spans="1:12" x14ac:dyDescent="0.25">
      <c r="A262" s="1" t="s">
        <v>15</v>
      </c>
      <c r="B262" s="9" t="s">
        <v>787</v>
      </c>
      <c r="C262" s="3" t="s">
        <v>788</v>
      </c>
      <c r="D262" s="4" t="s">
        <v>789</v>
      </c>
      <c r="F262" s="5">
        <f t="shared" si="31"/>
        <v>70.2</v>
      </c>
      <c r="G262" s="6">
        <v>70.2</v>
      </c>
      <c r="H262" s="7">
        <v>0</v>
      </c>
      <c r="I262" s="1">
        <f t="shared" si="32"/>
        <v>21.06</v>
      </c>
      <c r="J262">
        <f t="shared" si="33"/>
        <v>0</v>
      </c>
      <c r="K262">
        <f t="shared" si="34"/>
        <v>49.14</v>
      </c>
      <c r="L262">
        <f t="shared" si="35"/>
        <v>0</v>
      </c>
    </row>
    <row r="263" spans="1:12" x14ac:dyDescent="0.25">
      <c r="A263" s="1" t="s">
        <v>15</v>
      </c>
      <c r="B263" s="9" t="s">
        <v>790</v>
      </c>
      <c r="C263" s="3" t="s">
        <v>791</v>
      </c>
      <c r="D263" s="4" t="s">
        <v>792</v>
      </c>
      <c r="F263" s="5">
        <f t="shared" si="31"/>
        <v>68.900000000000006</v>
      </c>
      <c r="G263" s="6">
        <v>68.900000000000006</v>
      </c>
      <c r="H263" s="7">
        <v>0</v>
      </c>
      <c r="I263" s="1">
        <f t="shared" si="32"/>
        <v>20.67</v>
      </c>
      <c r="J263">
        <f t="shared" si="33"/>
        <v>0</v>
      </c>
      <c r="K263">
        <f t="shared" si="34"/>
        <v>48.230000000000004</v>
      </c>
      <c r="L263">
        <f t="shared" si="35"/>
        <v>0</v>
      </c>
    </row>
    <row r="264" spans="1:12" x14ac:dyDescent="0.25">
      <c r="A264" s="1" t="s">
        <v>15</v>
      </c>
      <c r="B264" s="9" t="s">
        <v>793</v>
      </c>
      <c r="C264" s="3" t="s">
        <v>794</v>
      </c>
      <c r="D264" s="4" t="s">
        <v>795</v>
      </c>
      <c r="F264" s="5">
        <f t="shared" si="31"/>
        <v>76.7</v>
      </c>
      <c r="G264" s="6">
        <v>76.7</v>
      </c>
      <c r="H264" s="7">
        <v>0</v>
      </c>
      <c r="I264" s="1">
        <f t="shared" si="32"/>
        <v>23.01</v>
      </c>
      <c r="J264">
        <f t="shared" si="33"/>
        <v>0</v>
      </c>
      <c r="K264">
        <f t="shared" si="34"/>
        <v>53.69</v>
      </c>
      <c r="L264">
        <f t="shared" si="35"/>
        <v>0</v>
      </c>
    </row>
    <row r="265" spans="1:12" x14ac:dyDescent="0.25">
      <c r="A265" s="1" t="s">
        <v>15</v>
      </c>
      <c r="B265" s="9" t="s">
        <v>796</v>
      </c>
      <c r="C265" s="3" t="s">
        <v>797</v>
      </c>
      <c r="D265" s="4" t="s">
        <v>798</v>
      </c>
      <c r="F265" s="5">
        <f t="shared" si="31"/>
        <v>74.100000000000009</v>
      </c>
      <c r="G265" s="6">
        <v>74.100000000000009</v>
      </c>
      <c r="H265" s="7">
        <v>0</v>
      </c>
      <c r="I265" s="1">
        <f t="shared" si="32"/>
        <v>22.23</v>
      </c>
      <c r="J265">
        <f t="shared" si="33"/>
        <v>0</v>
      </c>
      <c r="K265">
        <f t="shared" si="34"/>
        <v>51.870000000000005</v>
      </c>
      <c r="L265">
        <f t="shared" si="35"/>
        <v>0</v>
      </c>
    </row>
    <row r="266" spans="1:12" x14ac:dyDescent="0.25">
      <c r="A266" s="1" t="s">
        <v>15</v>
      </c>
      <c r="B266" s="9" t="s">
        <v>799</v>
      </c>
      <c r="C266" s="3" t="s">
        <v>800</v>
      </c>
      <c r="D266" s="4" t="s">
        <v>801</v>
      </c>
      <c r="F266" s="5">
        <f t="shared" si="31"/>
        <v>80.600000000000009</v>
      </c>
      <c r="G266" s="6">
        <v>80.600000000000009</v>
      </c>
      <c r="H266" s="7">
        <v>0</v>
      </c>
      <c r="I266" s="1">
        <f t="shared" si="32"/>
        <v>24.180000000000003</v>
      </c>
      <c r="J266">
        <f t="shared" si="33"/>
        <v>0</v>
      </c>
      <c r="K266">
        <f t="shared" si="34"/>
        <v>56.42</v>
      </c>
      <c r="L266">
        <f t="shared" si="35"/>
        <v>0</v>
      </c>
    </row>
    <row r="267" spans="1:12" x14ac:dyDescent="0.25">
      <c r="A267" s="1" t="s">
        <v>15</v>
      </c>
      <c r="B267" s="9" t="s">
        <v>802</v>
      </c>
      <c r="C267" s="3" t="s">
        <v>803</v>
      </c>
      <c r="D267" s="4" t="s">
        <v>804</v>
      </c>
      <c r="F267" s="5">
        <f t="shared" si="31"/>
        <v>75.400000000000006</v>
      </c>
      <c r="G267" s="6">
        <v>75.400000000000006</v>
      </c>
      <c r="H267" s="7">
        <v>0</v>
      </c>
      <c r="I267" s="1">
        <f t="shared" si="32"/>
        <v>22.62</v>
      </c>
      <c r="J267">
        <f t="shared" si="33"/>
        <v>0</v>
      </c>
      <c r="K267">
        <f t="shared" si="34"/>
        <v>52.78</v>
      </c>
      <c r="L267">
        <f t="shared" si="35"/>
        <v>0</v>
      </c>
    </row>
    <row r="268" spans="1:12" x14ac:dyDescent="0.25">
      <c r="A268" s="1" t="s">
        <v>15</v>
      </c>
      <c r="B268" s="9" t="s">
        <v>805</v>
      </c>
      <c r="C268" s="3" t="s">
        <v>806</v>
      </c>
      <c r="D268" s="4" t="s">
        <v>807</v>
      </c>
      <c r="F268" s="5">
        <f t="shared" si="31"/>
        <v>45.5</v>
      </c>
      <c r="G268" s="6">
        <v>45.5</v>
      </c>
      <c r="H268" s="7">
        <v>0</v>
      </c>
      <c r="I268" s="1">
        <f t="shared" si="32"/>
        <v>13.65</v>
      </c>
      <c r="J268">
        <f t="shared" si="33"/>
        <v>0</v>
      </c>
      <c r="K268">
        <f t="shared" si="34"/>
        <v>31.849999999999998</v>
      </c>
      <c r="L268">
        <f t="shared" si="35"/>
        <v>0</v>
      </c>
    </row>
    <row r="269" spans="1:12" x14ac:dyDescent="0.25">
      <c r="A269" s="1" t="s">
        <v>15</v>
      </c>
      <c r="B269" s="9" t="s">
        <v>808</v>
      </c>
      <c r="C269" s="3" t="s">
        <v>809</v>
      </c>
      <c r="D269" s="4" t="s">
        <v>810</v>
      </c>
      <c r="F269" s="5">
        <f>G269+H269</f>
        <v>58.5</v>
      </c>
      <c r="G269" s="6">
        <v>58.5</v>
      </c>
      <c r="H269" s="7">
        <v>0</v>
      </c>
      <c r="I269" s="1">
        <f t="shared" si="32"/>
        <v>17.55</v>
      </c>
      <c r="J269">
        <f t="shared" si="33"/>
        <v>0</v>
      </c>
      <c r="K269">
        <f t="shared" si="34"/>
        <v>40.949999999999996</v>
      </c>
      <c r="L269">
        <f t="shared" si="35"/>
        <v>0</v>
      </c>
    </row>
    <row r="270" spans="1:12" x14ac:dyDescent="0.25">
      <c r="A270" s="1" t="s">
        <v>15</v>
      </c>
      <c r="B270" s="9" t="s">
        <v>811</v>
      </c>
      <c r="C270" s="3" t="s">
        <v>812</v>
      </c>
      <c r="D270" s="4" t="s">
        <v>813</v>
      </c>
      <c r="F270" s="5">
        <f t="shared" ref="F270:F300" si="36">G270+H270</f>
        <v>72.8</v>
      </c>
      <c r="G270" s="6">
        <v>72.8</v>
      </c>
      <c r="H270" s="7">
        <v>0</v>
      </c>
      <c r="I270" s="1">
        <f t="shared" si="32"/>
        <v>21.84</v>
      </c>
      <c r="J270">
        <f t="shared" si="33"/>
        <v>0</v>
      </c>
      <c r="K270">
        <f t="shared" si="34"/>
        <v>50.959999999999994</v>
      </c>
      <c r="L270">
        <f t="shared" si="35"/>
        <v>0</v>
      </c>
    </row>
    <row r="271" spans="1:12" x14ac:dyDescent="0.25">
      <c r="A271" s="1" t="s">
        <v>15</v>
      </c>
      <c r="B271" s="9" t="s">
        <v>814</v>
      </c>
      <c r="C271" s="3" t="s">
        <v>815</v>
      </c>
      <c r="D271" s="4" t="s">
        <v>816</v>
      </c>
      <c r="F271" s="5">
        <f t="shared" si="36"/>
        <v>58.5</v>
      </c>
      <c r="G271" s="6">
        <v>58.5</v>
      </c>
      <c r="H271" s="7">
        <v>0</v>
      </c>
      <c r="I271" s="1">
        <f t="shared" si="32"/>
        <v>17.55</v>
      </c>
      <c r="J271">
        <f t="shared" si="33"/>
        <v>0</v>
      </c>
      <c r="K271">
        <f t="shared" si="34"/>
        <v>40.949999999999996</v>
      </c>
      <c r="L271">
        <f t="shared" si="35"/>
        <v>0</v>
      </c>
    </row>
    <row r="272" spans="1:12" x14ac:dyDescent="0.25">
      <c r="A272" s="1" t="s">
        <v>15</v>
      </c>
      <c r="B272" s="9" t="s">
        <v>817</v>
      </c>
      <c r="C272" s="3" t="s">
        <v>818</v>
      </c>
      <c r="D272" s="13" t="s">
        <v>819</v>
      </c>
      <c r="F272" s="5">
        <f t="shared" si="36"/>
        <v>75.400000000000006</v>
      </c>
      <c r="G272" s="6">
        <v>75.400000000000006</v>
      </c>
      <c r="H272" s="7">
        <v>0</v>
      </c>
      <c r="I272" s="1">
        <f t="shared" si="32"/>
        <v>22.62</v>
      </c>
      <c r="J272">
        <f t="shared" si="33"/>
        <v>0</v>
      </c>
      <c r="K272">
        <f t="shared" si="34"/>
        <v>52.78</v>
      </c>
      <c r="L272">
        <f t="shared" si="35"/>
        <v>0</v>
      </c>
    </row>
    <row r="273" spans="1:12" x14ac:dyDescent="0.25">
      <c r="A273" s="1" t="s">
        <v>15</v>
      </c>
      <c r="B273" s="9" t="s">
        <v>820</v>
      </c>
      <c r="C273" s="3" t="s">
        <v>821</v>
      </c>
      <c r="D273" s="13" t="s">
        <v>822</v>
      </c>
      <c r="F273" s="5">
        <f t="shared" si="36"/>
        <v>49.4</v>
      </c>
      <c r="G273" s="6">
        <v>49.4</v>
      </c>
      <c r="H273" s="7">
        <v>0</v>
      </c>
      <c r="I273" s="1">
        <f t="shared" si="32"/>
        <v>14.819999999999999</v>
      </c>
      <c r="J273">
        <f t="shared" si="33"/>
        <v>0</v>
      </c>
      <c r="K273">
        <f t="shared" si="34"/>
        <v>34.58</v>
      </c>
      <c r="L273">
        <f t="shared" si="35"/>
        <v>0</v>
      </c>
    </row>
    <row r="274" spans="1:12" x14ac:dyDescent="0.25">
      <c r="A274" s="1" t="s">
        <v>15</v>
      </c>
      <c r="B274" s="9" t="s">
        <v>823</v>
      </c>
      <c r="C274" s="3" t="s">
        <v>824</v>
      </c>
      <c r="D274" s="4" t="s">
        <v>825</v>
      </c>
      <c r="F274" s="5">
        <f t="shared" si="36"/>
        <v>45.5</v>
      </c>
      <c r="G274" s="6">
        <v>45.5</v>
      </c>
      <c r="H274" s="7">
        <v>0</v>
      </c>
      <c r="I274" s="1">
        <f t="shared" si="32"/>
        <v>13.65</v>
      </c>
      <c r="J274">
        <f t="shared" si="33"/>
        <v>0</v>
      </c>
      <c r="K274">
        <f t="shared" si="34"/>
        <v>31.849999999999998</v>
      </c>
      <c r="L274">
        <f t="shared" si="35"/>
        <v>0</v>
      </c>
    </row>
    <row r="275" spans="1:12" x14ac:dyDescent="0.25">
      <c r="A275" s="1" t="s">
        <v>15</v>
      </c>
      <c r="B275" s="9" t="s">
        <v>826</v>
      </c>
      <c r="C275" s="3" t="s">
        <v>827</v>
      </c>
      <c r="D275" s="4" t="s">
        <v>828</v>
      </c>
      <c r="F275" s="5">
        <f t="shared" si="36"/>
        <v>58.5</v>
      </c>
      <c r="G275" s="6">
        <v>58.5</v>
      </c>
      <c r="H275" s="7">
        <v>0</v>
      </c>
      <c r="I275" s="1">
        <f t="shared" si="32"/>
        <v>17.55</v>
      </c>
      <c r="J275">
        <f t="shared" si="33"/>
        <v>0</v>
      </c>
      <c r="K275">
        <f t="shared" si="34"/>
        <v>40.949999999999996</v>
      </c>
      <c r="L275">
        <f t="shared" si="35"/>
        <v>0</v>
      </c>
    </row>
    <row r="276" spans="1:12" x14ac:dyDescent="0.25">
      <c r="A276" s="1" t="s">
        <v>15</v>
      </c>
      <c r="B276" s="9" t="s">
        <v>829</v>
      </c>
      <c r="C276" s="3" t="s">
        <v>830</v>
      </c>
      <c r="D276" s="4" t="s">
        <v>831</v>
      </c>
      <c r="F276" s="5">
        <f t="shared" si="36"/>
        <v>91</v>
      </c>
      <c r="G276" s="6">
        <v>91</v>
      </c>
      <c r="H276" s="7">
        <v>0</v>
      </c>
      <c r="I276" s="1">
        <f t="shared" si="32"/>
        <v>27.3</v>
      </c>
      <c r="J276">
        <f t="shared" si="33"/>
        <v>0</v>
      </c>
      <c r="K276">
        <f t="shared" si="34"/>
        <v>63.699999999999996</v>
      </c>
      <c r="L276">
        <f t="shared" si="35"/>
        <v>0</v>
      </c>
    </row>
    <row r="277" spans="1:12" x14ac:dyDescent="0.25">
      <c r="A277" s="1" t="s">
        <v>15</v>
      </c>
      <c r="B277" s="9" t="s">
        <v>832</v>
      </c>
      <c r="C277" s="3" t="s">
        <v>833</v>
      </c>
      <c r="D277" s="4" t="s">
        <v>834</v>
      </c>
      <c r="F277" s="5">
        <f t="shared" si="36"/>
        <v>45.5</v>
      </c>
      <c r="G277" s="6">
        <v>45.5</v>
      </c>
      <c r="H277" s="7">
        <v>0</v>
      </c>
      <c r="I277" s="1">
        <f t="shared" si="32"/>
        <v>13.65</v>
      </c>
      <c r="J277">
        <f t="shared" si="33"/>
        <v>0</v>
      </c>
      <c r="K277">
        <f t="shared" si="34"/>
        <v>31.849999999999998</v>
      </c>
      <c r="L277">
        <f t="shared" si="35"/>
        <v>0</v>
      </c>
    </row>
    <row r="278" spans="1:12" x14ac:dyDescent="0.25">
      <c r="A278" s="1" t="s">
        <v>15</v>
      </c>
      <c r="B278" s="18" t="s">
        <v>835</v>
      </c>
      <c r="C278" s="27" t="s">
        <v>836</v>
      </c>
      <c r="D278" s="20" t="s">
        <v>837</v>
      </c>
      <c r="F278" s="21">
        <f t="shared" si="36"/>
        <v>19.5</v>
      </c>
      <c r="G278" s="22">
        <v>19.5</v>
      </c>
      <c r="H278" s="28">
        <v>0</v>
      </c>
      <c r="I278" s="1">
        <f t="shared" si="32"/>
        <v>5.85</v>
      </c>
      <c r="J278">
        <f t="shared" si="33"/>
        <v>0</v>
      </c>
      <c r="K278">
        <f t="shared" si="34"/>
        <v>13.649999999999999</v>
      </c>
      <c r="L278">
        <f t="shared" si="35"/>
        <v>0</v>
      </c>
    </row>
    <row r="279" spans="1:12" x14ac:dyDescent="0.25">
      <c r="A279" s="1" t="s">
        <v>15</v>
      </c>
      <c r="B279" s="9" t="s">
        <v>838</v>
      </c>
      <c r="C279" s="3" t="s">
        <v>839</v>
      </c>
      <c r="D279" s="4" t="s">
        <v>840</v>
      </c>
      <c r="F279" s="5">
        <f t="shared" si="36"/>
        <v>91</v>
      </c>
      <c r="G279" s="6">
        <v>91</v>
      </c>
      <c r="H279" s="7">
        <v>0</v>
      </c>
      <c r="I279" s="1">
        <f t="shared" si="32"/>
        <v>27.3</v>
      </c>
      <c r="J279">
        <f t="shared" si="33"/>
        <v>0</v>
      </c>
      <c r="K279">
        <f t="shared" si="34"/>
        <v>63.699999999999996</v>
      </c>
      <c r="L279">
        <f t="shared" si="35"/>
        <v>0</v>
      </c>
    </row>
    <row r="280" spans="1:12" x14ac:dyDescent="0.25">
      <c r="A280" s="1" t="s">
        <v>15</v>
      </c>
      <c r="B280" s="9" t="s">
        <v>841</v>
      </c>
      <c r="C280" s="3" t="s">
        <v>842</v>
      </c>
      <c r="D280" s="4" t="s">
        <v>843</v>
      </c>
      <c r="F280" s="5">
        <f t="shared" si="36"/>
        <v>72.8</v>
      </c>
      <c r="G280" s="6">
        <v>72.8</v>
      </c>
      <c r="H280" s="7">
        <v>0</v>
      </c>
      <c r="I280" s="1">
        <f t="shared" si="32"/>
        <v>21.84</v>
      </c>
      <c r="J280">
        <f t="shared" si="33"/>
        <v>0</v>
      </c>
      <c r="K280">
        <f t="shared" si="34"/>
        <v>50.959999999999994</v>
      </c>
      <c r="L280">
        <f t="shared" si="35"/>
        <v>0</v>
      </c>
    </row>
    <row r="281" spans="1:12" x14ac:dyDescent="0.25">
      <c r="A281" s="1" t="s">
        <v>15</v>
      </c>
      <c r="B281" s="9" t="s">
        <v>844</v>
      </c>
      <c r="C281" s="3" t="s">
        <v>845</v>
      </c>
      <c r="D281" s="4" t="s">
        <v>846</v>
      </c>
      <c r="F281" s="5">
        <f t="shared" si="36"/>
        <v>74.100000000000009</v>
      </c>
      <c r="G281" s="6">
        <v>74.100000000000009</v>
      </c>
      <c r="H281" s="7">
        <v>0</v>
      </c>
      <c r="I281" s="1">
        <f t="shared" si="32"/>
        <v>22.23</v>
      </c>
      <c r="J281">
        <f t="shared" si="33"/>
        <v>0</v>
      </c>
      <c r="K281">
        <f t="shared" si="34"/>
        <v>51.870000000000005</v>
      </c>
      <c r="L281">
        <f t="shared" si="35"/>
        <v>0</v>
      </c>
    </row>
    <row r="282" spans="1:12" x14ac:dyDescent="0.25">
      <c r="A282" s="1" t="s">
        <v>15</v>
      </c>
      <c r="B282" s="9" t="s">
        <v>847</v>
      </c>
      <c r="C282" s="3" t="s">
        <v>848</v>
      </c>
      <c r="D282" s="4" t="s">
        <v>849</v>
      </c>
      <c r="F282" s="5">
        <f t="shared" si="36"/>
        <v>45.5</v>
      </c>
      <c r="G282" s="6">
        <v>45.5</v>
      </c>
      <c r="H282" s="7">
        <v>0</v>
      </c>
      <c r="I282" s="1">
        <f t="shared" si="32"/>
        <v>13.65</v>
      </c>
      <c r="J282">
        <f t="shared" si="33"/>
        <v>0</v>
      </c>
      <c r="K282">
        <f t="shared" si="34"/>
        <v>31.849999999999998</v>
      </c>
      <c r="L282">
        <f t="shared" si="35"/>
        <v>0</v>
      </c>
    </row>
    <row r="283" spans="1:12" x14ac:dyDescent="0.25">
      <c r="A283" s="1" t="s">
        <v>15</v>
      </c>
      <c r="B283" s="9" t="s">
        <v>850</v>
      </c>
      <c r="C283" s="3" t="s">
        <v>851</v>
      </c>
      <c r="D283" s="4" t="s">
        <v>852</v>
      </c>
      <c r="F283" s="5">
        <f t="shared" si="36"/>
        <v>45.5</v>
      </c>
      <c r="G283" s="6">
        <v>45.5</v>
      </c>
      <c r="H283" s="7">
        <v>0</v>
      </c>
      <c r="I283" s="1">
        <f t="shared" si="32"/>
        <v>13.65</v>
      </c>
      <c r="J283">
        <f t="shared" si="33"/>
        <v>0</v>
      </c>
      <c r="K283">
        <f t="shared" si="34"/>
        <v>31.849999999999998</v>
      </c>
      <c r="L283">
        <f t="shared" si="35"/>
        <v>0</v>
      </c>
    </row>
    <row r="284" spans="1:12" x14ac:dyDescent="0.25">
      <c r="A284" s="1" t="s">
        <v>15</v>
      </c>
      <c r="B284" s="9" t="s">
        <v>853</v>
      </c>
      <c r="C284" s="3" t="s">
        <v>854</v>
      </c>
      <c r="D284" s="4" t="s">
        <v>855</v>
      </c>
      <c r="F284" s="5">
        <f t="shared" si="36"/>
        <v>39</v>
      </c>
      <c r="G284" s="6">
        <v>39</v>
      </c>
      <c r="H284" s="7">
        <v>0</v>
      </c>
      <c r="I284" s="1">
        <f t="shared" si="32"/>
        <v>11.7</v>
      </c>
      <c r="J284">
        <f t="shared" si="33"/>
        <v>0</v>
      </c>
      <c r="K284">
        <f t="shared" si="34"/>
        <v>27.299999999999997</v>
      </c>
      <c r="L284">
        <f t="shared" si="35"/>
        <v>0</v>
      </c>
    </row>
    <row r="285" spans="1:12" x14ac:dyDescent="0.25">
      <c r="A285" s="1" t="s">
        <v>15</v>
      </c>
      <c r="B285" s="9" t="s">
        <v>856</v>
      </c>
      <c r="C285" s="3" t="s">
        <v>857</v>
      </c>
      <c r="D285" s="4" t="s">
        <v>858</v>
      </c>
      <c r="F285" s="5">
        <f t="shared" si="36"/>
        <v>39</v>
      </c>
      <c r="G285" s="6">
        <v>39</v>
      </c>
      <c r="H285" s="7">
        <v>0</v>
      </c>
      <c r="I285" s="1">
        <f t="shared" si="32"/>
        <v>11.7</v>
      </c>
      <c r="J285">
        <f t="shared" si="33"/>
        <v>0</v>
      </c>
      <c r="K285">
        <f t="shared" si="34"/>
        <v>27.299999999999997</v>
      </c>
      <c r="L285">
        <f t="shared" si="35"/>
        <v>0</v>
      </c>
    </row>
    <row r="286" spans="1:12" x14ac:dyDescent="0.25">
      <c r="A286" s="1" t="s">
        <v>15</v>
      </c>
      <c r="B286" s="9" t="s">
        <v>859</v>
      </c>
      <c r="C286" s="3" t="s">
        <v>860</v>
      </c>
      <c r="D286" s="4" t="s">
        <v>861</v>
      </c>
      <c r="F286" s="5">
        <f t="shared" si="36"/>
        <v>6.5</v>
      </c>
      <c r="G286" s="6">
        <v>6.5</v>
      </c>
      <c r="H286" s="7">
        <v>0</v>
      </c>
      <c r="I286" s="1">
        <f t="shared" si="32"/>
        <v>1.95</v>
      </c>
      <c r="J286">
        <f t="shared" si="33"/>
        <v>0</v>
      </c>
      <c r="K286">
        <f t="shared" si="34"/>
        <v>4.55</v>
      </c>
      <c r="L286">
        <f t="shared" si="35"/>
        <v>0</v>
      </c>
    </row>
    <row r="287" spans="1:12" x14ac:dyDescent="0.25">
      <c r="A287" s="1" t="s">
        <v>15</v>
      </c>
      <c r="B287" s="9" t="s">
        <v>862</v>
      </c>
      <c r="C287" s="3" t="s">
        <v>863</v>
      </c>
      <c r="D287" s="4" t="s">
        <v>864</v>
      </c>
      <c r="F287" s="5">
        <f t="shared" si="36"/>
        <v>13</v>
      </c>
      <c r="G287" s="6">
        <v>13</v>
      </c>
      <c r="H287" s="7">
        <v>0</v>
      </c>
      <c r="I287" s="1">
        <f t="shared" si="32"/>
        <v>3.9</v>
      </c>
      <c r="J287">
        <f t="shared" si="33"/>
        <v>0</v>
      </c>
      <c r="K287">
        <f t="shared" si="34"/>
        <v>9.1</v>
      </c>
      <c r="L287">
        <f t="shared" si="35"/>
        <v>0</v>
      </c>
    </row>
    <row r="288" spans="1:12" x14ac:dyDescent="0.25">
      <c r="A288" s="1" t="s">
        <v>15</v>
      </c>
      <c r="B288" s="9" t="s">
        <v>865</v>
      </c>
      <c r="C288" s="3" t="s">
        <v>866</v>
      </c>
      <c r="D288" s="4" t="s">
        <v>867</v>
      </c>
      <c r="F288" s="5">
        <f t="shared" si="36"/>
        <v>24.7</v>
      </c>
      <c r="G288" s="6">
        <v>24.7</v>
      </c>
      <c r="H288" s="7">
        <v>0</v>
      </c>
      <c r="I288" s="1">
        <f t="shared" si="32"/>
        <v>7.4099999999999993</v>
      </c>
      <c r="J288">
        <f t="shared" si="33"/>
        <v>0</v>
      </c>
      <c r="K288">
        <f t="shared" si="34"/>
        <v>17.29</v>
      </c>
      <c r="L288">
        <f t="shared" si="35"/>
        <v>0</v>
      </c>
    </row>
    <row r="289" spans="1:12" x14ac:dyDescent="0.25">
      <c r="A289" s="1" t="s">
        <v>15</v>
      </c>
      <c r="B289" s="9" t="s">
        <v>868</v>
      </c>
      <c r="C289" s="3" t="s">
        <v>869</v>
      </c>
      <c r="D289" s="4" t="s">
        <v>870</v>
      </c>
      <c r="F289" s="5">
        <f t="shared" si="36"/>
        <v>24.7</v>
      </c>
      <c r="G289" s="6">
        <v>24.7</v>
      </c>
      <c r="H289" s="7">
        <v>0</v>
      </c>
      <c r="I289" s="1">
        <f t="shared" si="32"/>
        <v>7.4099999999999993</v>
      </c>
      <c r="J289">
        <f t="shared" si="33"/>
        <v>0</v>
      </c>
      <c r="K289">
        <f t="shared" si="34"/>
        <v>17.29</v>
      </c>
      <c r="L289">
        <f t="shared" si="35"/>
        <v>0</v>
      </c>
    </row>
    <row r="290" spans="1:12" x14ac:dyDescent="0.25">
      <c r="A290" s="1" t="s">
        <v>15</v>
      </c>
      <c r="B290" s="9" t="s">
        <v>871</v>
      </c>
      <c r="C290" s="3" t="s">
        <v>872</v>
      </c>
      <c r="D290" s="4" t="s">
        <v>873</v>
      </c>
      <c r="F290" s="5">
        <f t="shared" si="36"/>
        <v>24.7</v>
      </c>
      <c r="G290" s="6">
        <v>24.7</v>
      </c>
      <c r="H290" s="7">
        <v>0</v>
      </c>
      <c r="I290" s="1">
        <f t="shared" si="32"/>
        <v>7.4099999999999993</v>
      </c>
      <c r="J290">
        <f t="shared" si="33"/>
        <v>0</v>
      </c>
      <c r="K290">
        <f t="shared" si="34"/>
        <v>17.29</v>
      </c>
      <c r="L290">
        <f t="shared" si="35"/>
        <v>0</v>
      </c>
    </row>
    <row r="291" spans="1:12" x14ac:dyDescent="0.25">
      <c r="A291" s="1" t="s">
        <v>15</v>
      </c>
      <c r="B291" s="9" t="s">
        <v>874</v>
      </c>
      <c r="C291" s="3" t="s">
        <v>875</v>
      </c>
      <c r="D291" s="4" t="s">
        <v>876</v>
      </c>
      <c r="F291" s="5">
        <f t="shared" si="36"/>
        <v>24.7</v>
      </c>
      <c r="G291" s="6">
        <v>24.7</v>
      </c>
      <c r="H291" s="7">
        <v>0</v>
      </c>
      <c r="I291" s="1">
        <f t="shared" si="32"/>
        <v>7.4099999999999993</v>
      </c>
      <c r="J291">
        <f t="shared" si="33"/>
        <v>0</v>
      </c>
      <c r="K291">
        <f t="shared" si="34"/>
        <v>17.29</v>
      </c>
      <c r="L291">
        <f t="shared" si="35"/>
        <v>0</v>
      </c>
    </row>
    <row r="292" spans="1:12" x14ac:dyDescent="0.25">
      <c r="A292" s="1" t="s">
        <v>15</v>
      </c>
      <c r="B292" s="9" t="s">
        <v>877</v>
      </c>
      <c r="C292" s="3" t="s">
        <v>878</v>
      </c>
      <c r="D292" s="12" t="s">
        <v>879</v>
      </c>
      <c r="F292" s="5">
        <f t="shared" si="36"/>
        <v>24.7</v>
      </c>
      <c r="G292" s="6">
        <v>6.5</v>
      </c>
      <c r="H292" s="8">
        <v>18.2</v>
      </c>
      <c r="I292" s="1">
        <f t="shared" si="32"/>
        <v>1.95</v>
      </c>
      <c r="J292">
        <f t="shared" si="33"/>
        <v>5.46</v>
      </c>
      <c r="K292">
        <f t="shared" si="34"/>
        <v>4.55</v>
      </c>
      <c r="L292">
        <f t="shared" si="35"/>
        <v>12.739999999999998</v>
      </c>
    </row>
    <row r="293" spans="1:12" x14ac:dyDescent="0.25">
      <c r="A293" s="1" t="s">
        <v>15</v>
      </c>
      <c r="B293" s="9" t="s">
        <v>880</v>
      </c>
      <c r="C293" s="3" t="s">
        <v>881</v>
      </c>
      <c r="D293" s="12" t="s">
        <v>882</v>
      </c>
      <c r="F293" s="5">
        <f t="shared" si="36"/>
        <v>24.7</v>
      </c>
      <c r="G293" s="6">
        <v>6.5</v>
      </c>
      <c r="H293" s="8">
        <v>18.2</v>
      </c>
      <c r="I293" s="1">
        <f t="shared" si="32"/>
        <v>1.95</v>
      </c>
      <c r="J293">
        <f t="shared" si="33"/>
        <v>5.46</v>
      </c>
      <c r="K293">
        <f t="shared" si="34"/>
        <v>4.55</v>
      </c>
      <c r="L293">
        <f t="shared" si="35"/>
        <v>12.739999999999998</v>
      </c>
    </row>
    <row r="294" spans="1:12" x14ac:dyDescent="0.25">
      <c r="A294" s="1" t="s">
        <v>15</v>
      </c>
      <c r="B294" s="9" t="s">
        <v>883</v>
      </c>
      <c r="C294" s="3" t="s">
        <v>884</v>
      </c>
      <c r="D294" s="12" t="s">
        <v>885</v>
      </c>
      <c r="F294" s="5">
        <f t="shared" si="36"/>
        <v>15.6</v>
      </c>
      <c r="G294" s="11">
        <v>2.6</v>
      </c>
      <c r="H294" s="14">
        <v>13</v>
      </c>
      <c r="I294" s="1">
        <f t="shared" si="32"/>
        <v>0.78</v>
      </c>
      <c r="J294">
        <f t="shared" si="33"/>
        <v>3.9</v>
      </c>
      <c r="K294">
        <f t="shared" si="34"/>
        <v>1.8199999999999998</v>
      </c>
      <c r="L294">
        <f t="shared" si="35"/>
        <v>9.1</v>
      </c>
    </row>
    <row r="295" spans="1:12" x14ac:dyDescent="0.25">
      <c r="A295" s="1" t="s">
        <v>15</v>
      </c>
      <c r="B295" s="9" t="s">
        <v>886</v>
      </c>
      <c r="C295" s="3" t="s">
        <v>887</v>
      </c>
      <c r="D295" s="12" t="s">
        <v>888</v>
      </c>
      <c r="F295" s="5">
        <f t="shared" si="36"/>
        <v>24.7</v>
      </c>
      <c r="G295" s="6">
        <v>6.5</v>
      </c>
      <c r="H295" s="8">
        <v>18.2</v>
      </c>
      <c r="I295" s="1">
        <f t="shared" si="32"/>
        <v>1.95</v>
      </c>
      <c r="J295">
        <f t="shared" si="33"/>
        <v>5.46</v>
      </c>
      <c r="K295">
        <f t="shared" si="34"/>
        <v>4.55</v>
      </c>
      <c r="L295">
        <f t="shared" si="35"/>
        <v>12.739999999999998</v>
      </c>
    </row>
    <row r="296" spans="1:12" x14ac:dyDescent="0.25">
      <c r="A296" s="1" t="s">
        <v>15</v>
      </c>
      <c r="B296" s="9" t="s">
        <v>889</v>
      </c>
      <c r="C296" s="3" t="s">
        <v>890</v>
      </c>
      <c r="D296" s="12" t="s">
        <v>891</v>
      </c>
      <c r="F296" s="5">
        <f t="shared" si="36"/>
        <v>24.7</v>
      </c>
      <c r="G296" s="6">
        <v>6.5</v>
      </c>
      <c r="H296" s="8">
        <v>18.2</v>
      </c>
      <c r="I296" s="1">
        <f t="shared" si="32"/>
        <v>1.95</v>
      </c>
      <c r="J296">
        <f t="shared" si="33"/>
        <v>5.46</v>
      </c>
      <c r="K296">
        <f t="shared" si="34"/>
        <v>4.55</v>
      </c>
      <c r="L296">
        <f t="shared" si="35"/>
        <v>12.739999999999998</v>
      </c>
    </row>
    <row r="297" spans="1:12" x14ac:dyDescent="0.25">
      <c r="A297" s="1" t="s">
        <v>15</v>
      </c>
      <c r="B297" s="9" t="s">
        <v>892</v>
      </c>
      <c r="C297" s="3" t="s">
        <v>893</v>
      </c>
      <c r="D297" s="12" t="s">
        <v>894</v>
      </c>
      <c r="F297" s="5">
        <f t="shared" si="36"/>
        <v>24.7</v>
      </c>
      <c r="G297" s="6">
        <v>6.5</v>
      </c>
      <c r="H297" s="8">
        <v>18.2</v>
      </c>
      <c r="I297" s="1">
        <f t="shared" si="32"/>
        <v>1.95</v>
      </c>
      <c r="J297">
        <f t="shared" si="33"/>
        <v>5.46</v>
      </c>
      <c r="K297">
        <f t="shared" si="34"/>
        <v>4.55</v>
      </c>
      <c r="L297">
        <f t="shared" si="35"/>
        <v>12.739999999999998</v>
      </c>
    </row>
    <row r="298" spans="1:12" x14ac:dyDescent="0.25">
      <c r="A298" s="1" t="s">
        <v>15</v>
      </c>
      <c r="B298" s="9" t="s">
        <v>895</v>
      </c>
      <c r="C298" s="3" t="s">
        <v>896</v>
      </c>
      <c r="D298" s="12" t="s">
        <v>897</v>
      </c>
      <c r="F298" s="5">
        <f t="shared" si="36"/>
        <v>11.7</v>
      </c>
      <c r="G298" s="6">
        <v>6.5</v>
      </c>
      <c r="H298" s="8">
        <v>5.2</v>
      </c>
      <c r="I298" s="1">
        <f t="shared" si="32"/>
        <v>1.95</v>
      </c>
      <c r="J298">
        <f t="shared" si="33"/>
        <v>1.56</v>
      </c>
      <c r="K298">
        <f t="shared" si="34"/>
        <v>4.55</v>
      </c>
      <c r="L298">
        <f t="shared" si="35"/>
        <v>3.6399999999999997</v>
      </c>
    </row>
    <row r="299" spans="1:12" x14ac:dyDescent="0.25">
      <c r="A299" s="1" t="s">
        <v>15</v>
      </c>
      <c r="B299" s="9" t="s">
        <v>898</v>
      </c>
      <c r="C299" s="3" t="s">
        <v>899</v>
      </c>
      <c r="D299" s="12" t="s">
        <v>900</v>
      </c>
      <c r="F299" s="5">
        <f t="shared" si="36"/>
        <v>11.7</v>
      </c>
      <c r="G299" s="6">
        <v>6.5</v>
      </c>
      <c r="H299" s="8">
        <v>5.2</v>
      </c>
      <c r="I299" s="1">
        <f t="shared" si="32"/>
        <v>1.95</v>
      </c>
      <c r="J299">
        <f t="shared" si="33"/>
        <v>1.56</v>
      </c>
      <c r="K299">
        <f t="shared" si="34"/>
        <v>4.55</v>
      </c>
      <c r="L299">
        <f t="shared" si="35"/>
        <v>3.6399999999999997</v>
      </c>
    </row>
    <row r="300" spans="1:12" x14ac:dyDescent="0.25">
      <c r="A300" s="1" t="s">
        <v>15</v>
      </c>
      <c r="B300" s="9" t="s">
        <v>901</v>
      </c>
      <c r="C300" s="3" t="s">
        <v>902</v>
      </c>
      <c r="D300" s="12" t="s">
        <v>903</v>
      </c>
      <c r="F300" s="5">
        <f t="shared" si="36"/>
        <v>15.6</v>
      </c>
      <c r="G300" s="6">
        <v>2.6</v>
      </c>
      <c r="H300" s="8">
        <v>13</v>
      </c>
      <c r="I300" s="1">
        <f t="shared" si="32"/>
        <v>0.78</v>
      </c>
      <c r="J300">
        <f t="shared" si="33"/>
        <v>3.9</v>
      </c>
      <c r="K300">
        <f t="shared" si="34"/>
        <v>1.8199999999999998</v>
      </c>
      <c r="L300">
        <f t="shared" si="35"/>
        <v>9.1</v>
      </c>
    </row>
    <row r="301" spans="1:12" x14ac:dyDescent="0.25">
      <c r="A301" s="1" t="s">
        <v>15</v>
      </c>
      <c r="B301" s="9" t="s">
        <v>904</v>
      </c>
      <c r="C301" s="3" t="s">
        <v>905</v>
      </c>
      <c r="D301" s="12" t="s">
        <v>906</v>
      </c>
      <c r="F301" s="5">
        <f>G301+H301</f>
        <v>24.7</v>
      </c>
      <c r="G301" s="6">
        <v>6.5</v>
      </c>
      <c r="H301" s="8">
        <v>18.2</v>
      </c>
      <c r="I301" s="1">
        <f t="shared" si="32"/>
        <v>1.95</v>
      </c>
      <c r="J301">
        <f t="shared" si="33"/>
        <v>5.46</v>
      </c>
      <c r="K301">
        <f t="shared" si="34"/>
        <v>4.55</v>
      </c>
      <c r="L301">
        <f t="shared" si="35"/>
        <v>12.739999999999998</v>
      </c>
    </row>
    <row r="302" spans="1:12" x14ac:dyDescent="0.25">
      <c r="A302" s="1" t="s">
        <v>15</v>
      </c>
      <c r="B302" s="9" t="s">
        <v>907</v>
      </c>
      <c r="C302" s="3" t="s">
        <v>908</v>
      </c>
      <c r="D302" s="12" t="s">
        <v>909</v>
      </c>
      <c r="F302" s="5">
        <f>G302+H302</f>
        <v>62.4</v>
      </c>
      <c r="G302" s="6">
        <v>10.4</v>
      </c>
      <c r="H302" s="8">
        <v>52</v>
      </c>
      <c r="I302" s="1">
        <f t="shared" si="32"/>
        <v>3.12</v>
      </c>
      <c r="J302">
        <f t="shared" si="33"/>
        <v>15.6</v>
      </c>
      <c r="K302">
        <f t="shared" si="34"/>
        <v>7.2799999999999994</v>
      </c>
      <c r="L302">
        <f t="shared" si="35"/>
        <v>36.4</v>
      </c>
    </row>
    <row r="303" spans="1:12" x14ac:dyDescent="0.25">
      <c r="A303" s="1" t="s">
        <v>15</v>
      </c>
      <c r="B303" s="9" t="s">
        <v>910</v>
      </c>
      <c r="C303" s="3" t="s">
        <v>911</v>
      </c>
      <c r="D303" s="4" t="s">
        <v>912</v>
      </c>
      <c r="F303" s="5">
        <f t="shared" ref="F303:F366" si="37">G303+H303</f>
        <v>88.4</v>
      </c>
      <c r="G303" s="6">
        <v>13</v>
      </c>
      <c r="H303" s="8">
        <v>75.400000000000006</v>
      </c>
      <c r="I303" s="1">
        <f t="shared" si="32"/>
        <v>3.9</v>
      </c>
      <c r="J303">
        <f t="shared" si="33"/>
        <v>22.62</v>
      </c>
      <c r="K303">
        <f t="shared" si="34"/>
        <v>9.1</v>
      </c>
      <c r="L303">
        <f t="shared" si="35"/>
        <v>52.78</v>
      </c>
    </row>
    <row r="304" spans="1:12" x14ac:dyDescent="0.25">
      <c r="A304" s="1" t="s">
        <v>15</v>
      </c>
      <c r="B304" s="9" t="s">
        <v>913</v>
      </c>
      <c r="C304" s="3" t="s">
        <v>914</v>
      </c>
      <c r="D304" s="4" t="s">
        <v>915</v>
      </c>
      <c r="F304" s="5">
        <f t="shared" si="37"/>
        <v>111.8</v>
      </c>
      <c r="G304" s="6">
        <v>13</v>
      </c>
      <c r="H304" s="8">
        <v>98.8</v>
      </c>
      <c r="I304" s="1">
        <f t="shared" si="32"/>
        <v>3.9</v>
      </c>
      <c r="J304">
        <f t="shared" si="33"/>
        <v>29.639999999999997</v>
      </c>
      <c r="K304">
        <f t="shared" si="34"/>
        <v>9.1</v>
      </c>
      <c r="L304">
        <f t="shared" si="35"/>
        <v>69.16</v>
      </c>
    </row>
    <row r="305" spans="1:12" x14ac:dyDescent="0.25">
      <c r="A305" s="1" t="s">
        <v>15</v>
      </c>
      <c r="B305" s="9" t="s">
        <v>916</v>
      </c>
      <c r="C305" s="3" t="s">
        <v>917</v>
      </c>
      <c r="D305" s="4" t="s">
        <v>918</v>
      </c>
      <c r="F305" s="5">
        <f t="shared" si="37"/>
        <v>71.5</v>
      </c>
      <c r="G305" s="6">
        <v>13</v>
      </c>
      <c r="H305" s="8">
        <v>58.5</v>
      </c>
      <c r="I305" s="1">
        <f t="shared" si="32"/>
        <v>3.9</v>
      </c>
      <c r="J305">
        <f t="shared" si="33"/>
        <v>17.55</v>
      </c>
      <c r="K305">
        <f t="shared" si="34"/>
        <v>9.1</v>
      </c>
      <c r="L305">
        <f t="shared" si="35"/>
        <v>40.949999999999996</v>
      </c>
    </row>
    <row r="306" spans="1:12" x14ac:dyDescent="0.25">
      <c r="A306" s="1" t="s">
        <v>15</v>
      </c>
      <c r="B306" s="9" t="s">
        <v>919</v>
      </c>
      <c r="C306" s="3" t="s">
        <v>920</v>
      </c>
      <c r="D306" s="4" t="s">
        <v>921</v>
      </c>
      <c r="F306" s="5">
        <f t="shared" si="37"/>
        <v>76.7</v>
      </c>
      <c r="G306" s="6">
        <v>13</v>
      </c>
      <c r="H306" s="8">
        <v>63.7</v>
      </c>
      <c r="I306" s="1">
        <f t="shared" si="32"/>
        <v>3.9</v>
      </c>
      <c r="J306">
        <f t="shared" si="33"/>
        <v>19.11</v>
      </c>
      <c r="K306">
        <f t="shared" si="34"/>
        <v>9.1</v>
      </c>
      <c r="L306">
        <f t="shared" si="35"/>
        <v>44.589999999999996</v>
      </c>
    </row>
    <row r="307" spans="1:12" x14ac:dyDescent="0.25">
      <c r="A307" s="1" t="s">
        <v>15</v>
      </c>
      <c r="B307" s="9" t="s">
        <v>922</v>
      </c>
      <c r="C307" s="3" t="s">
        <v>923</v>
      </c>
      <c r="D307" s="4" t="s">
        <v>924</v>
      </c>
      <c r="F307" s="5">
        <f t="shared" si="37"/>
        <v>127.4</v>
      </c>
      <c r="G307" s="6">
        <v>13</v>
      </c>
      <c r="H307" s="8">
        <v>114.4</v>
      </c>
      <c r="I307" s="1">
        <f t="shared" si="32"/>
        <v>3.9</v>
      </c>
      <c r="J307">
        <f t="shared" si="33"/>
        <v>34.32</v>
      </c>
      <c r="K307">
        <f t="shared" si="34"/>
        <v>9.1</v>
      </c>
      <c r="L307">
        <f t="shared" si="35"/>
        <v>80.08</v>
      </c>
    </row>
    <row r="308" spans="1:12" x14ac:dyDescent="0.25">
      <c r="A308" s="1" t="s">
        <v>15</v>
      </c>
      <c r="B308" s="9" t="s">
        <v>925</v>
      </c>
      <c r="C308" s="3" t="s">
        <v>926</v>
      </c>
      <c r="D308" s="4" t="s">
        <v>927</v>
      </c>
      <c r="F308" s="5">
        <f t="shared" si="37"/>
        <v>19.5</v>
      </c>
      <c r="G308" s="6">
        <v>6.5</v>
      </c>
      <c r="H308" s="8">
        <v>13</v>
      </c>
      <c r="I308" s="1">
        <f t="shared" si="32"/>
        <v>1.95</v>
      </c>
      <c r="J308">
        <f t="shared" si="33"/>
        <v>3.9</v>
      </c>
      <c r="K308">
        <f t="shared" si="34"/>
        <v>4.55</v>
      </c>
      <c r="L308">
        <f t="shared" si="35"/>
        <v>9.1</v>
      </c>
    </row>
    <row r="309" spans="1:12" x14ac:dyDescent="0.25">
      <c r="A309" s="1" t="s">
        <v>15</v>
      </c>
      <c r="B309" s="9" t="s">
        <v>928</v>
      </c>
      <c r="C309" s="3" t="s">
        <v>929</v>
      </c>
      <c r="D309" s="4" t="s">
        <v>930</v>
      </c>
      <c r="F309" s="5"/>
      <c r="G309" s="6"/>
      <c r="H309" s="8"/>
      <c r="I309" s="1">
        <f t="shared" si="32"/>
        <v>0</v>
      </c>
      <c r="J309">
        <f t="shared" si="33"/>
        <v>0</v>
      </c>
      <c r="K309">
        <f t="shared" si="34"/>
        <v>0</v>
      </c>
      <c r="L309">
        <f t="shared" si="35"/>
        <v>0</v>
      </c>
    </row>
    <row r="310" spans="1:12" x14ac:dyDescent="0.25">
      <c r="A310" s="1" t="s">
        <v>15</v>
      </c>
      <c r="B310" s="9" t="s">
        <v>931</v>
      </c>
      <c r="C310" s="3" t="s">
        <v>932</v>
      </c>
      <c r="D310" s="4" t="s">
        <v>933</v>
      </c>
      <c r="F310" s="5"/>
      <c r="G310" s="6"/>
      <c r="H310" s="8"/>
      <c r="I310" s="1">
        <f t="shared" si="32"/>
        <v>0</v>
      </c>
      <c r="J310">
        <f t="shared" si="33"/>
        <v>0</v>
      </c>
      <c r="K310">
        <f t="shared" si="34"/>
        <v>0</v>
      </c>
      <c r="L310">
        <f t="shared" si="35"/>
        <v>0</v>
      </c>
    </row>
    <row r="311" spans="1:12" x14ac:dyDescent="0.25">
      <c r="A311" s="1" t="s">
        <v>15</v>
      </c>
      <c r="B311" s="9" t="s">
        <v>934</v>
      </c>
      <c r="C311" s="3" t="s">
        <v>935</v>
      </c>
      <c r="D311" s="4" t="s">
        <v>936</v>
      </c>
      <c r="F311" s="5">
        <f t="shared" si="37"/>
        <v>127.4</v>
      </c>
      <c r="G311" s="6">
        <v>13</v>
      </c>
      <c r="H311" s="8">
        <v>114.4</v>
      </c>
      <c r="I311" s="1">
        <f t="shared" si="32"/>
        <v>3.9</v>
      </c>
      <c r="J311">
        <f t="shared" si="33"/>
        <v>34.32</v>
      </c>
      <c r="K311">
        <f t="shared" si="34"/>
        <v>9.1</v>
      </c>
      <c r="L311">
        <f t="shared" si="35"/>
        <v>80.08</v>
      </c>
    </row>
    <row r="312" spans="1:12" x14ac:dyDescent="0.25">
      <c r="A312" s="1" t="s">
        <v>15</v>
      </c>
      <c r="B312" s="9" t="s">
        <v>937</v>
      </c>
      <c r="C312" s="3" t="s">
        <v>938</v>
      </c>
      <c r="D312" s="4" t="s">
        <v>939</v>
      </c>
      <c r="F312" s="5">
        <f t="shared" si="37"/>
        <v>114.4</v>
      </c>
      <c r="G312" s="6">
        <v>13</v>
      </c>
      <c r="H312" s="8">
        <v>101.4</v>
      </c>
      <c r="I312" s="1">
        <f t="shared" si="32"/>
        <v>3.9</v>
      </c>
      <c r="J312">
        <f t="shared" si="33"/>
        <v>30.42</v>
      </c>
      <c r="K312">
        <f t="shared" si="34"/>
        <v>9.1</v>
      </c>
      <c r="L312">
        <f t="shared" si="35"/>
        <v>70.98</v>
      </c>
    </row>
    <row r="313" spans="1:12" x14ac:dyDescent="0.25">
      <c r="A313" s="1" t="s">
        <v>15</v>
      </c>
      <c r="B313" s="9" t="s">
        <v>940</v>
      </c>
      <c r="C313" s="3" t="s">
        <v>941</v>
      </c>
      <c r="D313" s="4" t="s">
        <v>942</v>
      </c>
      <c r="F313" s="5">
        <f t="shared" si="37"/>
        <v>39</v>
      </c>
      <c r="G313" s="6">
        <v>13</v>
      </c>
      <c r="H313" s="8">
        <v>26</v>
      </c>
      <c r="I313" s="1">
        <f t="shared" si="32"/>
        <v>3.9</v>
      </c>
      <c r="J313">
        <f t="shared" si="33"/>
        <v>7.8</v>
      </c>
      <c r="K313">
        <f t="shared" si="34"/>
        <v>9.1</v>
      </c>
      <c r="L313">
        <f t="shared" si="35"/>
        <v>18.2</v>
      </c>
    </row>
    <row r="314" spans="1:12" x14ac:dyDescent="0.25">
      <c r="A314" s="1" t="s">
        <v>15</v>
      </c>
      <c r="B314" s="9" t="s">
        <v>943</v>
      </c>
      <c r="C314" s="3" t="s">
        <v>944</v>
      </c>
      <c r="D314" s="4" t="s">
        <v>945</v>
      </c>
      <c r="F314" s="5">
        <f t="shared" si="37"/>
        <v>127.4</v>
      </c>
      <c r="G314" s="6">
        <v>13</v>
      </c>
      <c r="H314" s="8">
        <v>114.4</v>
      </c>
      <c r="I314" s="1">
        <f t="shared" si="32"/>
        <v>3.9</v>
      </c>
      <c r="J314">
        <f t="shared" si="33"/>
        <v>34.32</v>
      </c>
      <c r="K314">
        <f t="shared" si="34"/>
        <v>9.1</v>
      </c>
      <c r="L314">
        <f t="shared" si="35"/>
        <v>80.08</v>
      </c>
    </row>
    <row r="315" spans="1:12" x14ac:dyDescent="0.25">
      <c r="A315" s="1" t="s">
        <v>15</v>
      </c>
      <c r="B315" s="9" t="s">
        <v>946</v>
      </c>
      <c r="C315" s="3" t="s">
        <v>947</v>
      </c>
      <c r="D315" s="4" t="s">
        <v>948</v>
      </c>
      <c r="F315" s="5">
        <f t="shared" si="37"/>
        <v>85.8</v>
      </c>
      <c r="G315" s="6">
        <v>13</v>
      </c>
      <c r="H315" s="8">
        <v>72.8</v>
      </c>
      <c r="I315" s="1">
        <f t="shared" si="32"/>
        <v>3.9</v>
      </c>
      <c r="J315">
        <f t="shared" si="33"/>
        <v>21.84</v>
      </c>
      <c r="K315">
        <f t="shared" si="34"/>
        <v>9.1</v>
      </c>
      <c r="L315">
        <f t="shared" si="35"/>
        <v>50.959999999999994</v>
      </c>
    </row>
    <row r="316" spans="1:12" x14ac:dyDescent="0.25">
      <c r="A316" s="1" t="s">
        <v>15</v>
      </c>
      <c r="B316" s="9" t="s">
        <v>949</v>
      </c>
      <c r="C316" s="3" t="s">
        <v>950</v>
      </c>
      <c r="D316" s="4" t="s">
        <v>951</v>
      </c>
      <c r="F316" s="5">
        <f t="shared" si="37"/>
        <v>117</v>
      </c>
      <c r="G316" s="6">
        <v>13</v>
      </c>
      <c r="H316" s="8">
        <v>104</v>
      </c>
      <c r="I316" s="1">
        <f t="shared" si="32"/>
        <v>3.9</v>
      </c>
      <c r="J316">
        <f t="shared" si="33"/>
        <v>31.2</v>
      </c>
      <c r="K316">
        <f t="shared" si="34"/>
        <v>9.1</v>
      </c>
      <c r="L316">
        <f t="shared" si="35"/>
        <v>72.8</v>
      </c>
    </row>
    <row r="317" spans="1:12" x14ac:dyDescent="0.25">
      <c r="A317" s="1" t="s">
        <v>15</v>
      </c>
      <c r="B317" s="9" t="s">
        <v>952</v>
      </c>
      <c r="C317" s="3" t="s">
        <v>953</v>
      </c>
      <c r="D317" s="4" t="s">
        <v>954</v>
      </c>
      <c r="F317" s="5">
        <f t="shared" si="37"/>
        <v>127.4</v>
      </c>
      <c r="G317" s="6">
        <v>13</v>
      </c>
      <c r="H317" s="8">
        <v>114.4</v>
      </c>
      <c r="I317" s="1">
        <f t="shared" si="32"/>
        <v>3.9</v>
      </c>
      <c r="J317">
        <f t="shared" si="33"/>
        <v>34.32</v>
      </c>
      <c r="K317">
        <f t="shared" si="34"/>
        <v>9.1</v>
      </c>
      <c r="L317">
        <f t="shared" si="35"/>
        <v>80.08</v>
      </c>
    </row>
    <row r="318" spans="1:12" x14ac:dyDescent="0.25">
      <c r="A318" s="1" t="s">
        <v>15</v>
      </c>
      <c r="B318" s="9" t="s">
        <v>955</v>
      </c>
      <c r="C318" s="3" t="s">
        <v>956</v>
      </c>
      <c r="D318" s="4" t="s">
        <v>957</v>
      </c>
      <c r="F318" s="5">
        <f t="shared" si="37"/>
        <v>39</v>
      </c>
      <c r="G318" s="6">
        <v>13</v>
      </c>
      <c r="H318" s="8">
        <v>26</v>
      </c>
      <c r="I318" s="1">
        <f t="shared" si="32"/>
        <v>3.9</v>
      </c>
      <c r="J318">
        <f t="shared" si="33"/>
        <v>7.8</v>
      </c>
      <c r="K318">
        <f t="shared" si="34"/>
        <v>9.1</v>
      </c>
      <c r="L318">
        <f t="shared" si="35"/>
        <v>18.2</v>
      </c>
    </row>
    <row r="319" spans="1:12" x14ac:dyDescent="0.25">
      <c r="A319" s="1" t="s">
        <v>15</v>
      </c>
      <c r="B319" s="9" t="s">
        <v>958</v>
      </c>
      <c r="C319" s="3" t="s">
        <v>959</v>
      </c>
      <c r="D319" s="4" t="s">
        <v>960</v>
      </c>
      <c r="F319" s="5">
        <f t="shared" si="37"/>
        <v>39</v>
      </c>
      <c r="G319" s="6">
        <v>13</v>
      </c>
      <c r="H319" s="8">
        <v>26</v>
      </c>
      <c r="I319" s="1">
        <f t="shared" si="32"/>
        <v>3.9</v>
      </c>
      <c r="J319">
        <f t="shared" si="33"/>
        <v>7.8</v>
      </c>
      <c r="K319">
        <f t="shared" si="34"/>
        <v>9.1</v>
      </c>
      <c r="L319">
        <f t="shared" si="35"/>
        <v>18.2</v>
      </c>
    </row>
    <row r="320" spans="1:12" x14ac:dyDescent="0.25">
      <c r="A320" s="1" t="s">
        <v>15</v>
      </c>
      <c r="B320" s="9" t="s">
        <v>961</v>
      </c>
      <c r="C320" s="3" t="s">
        <v>962</v>
      </c>
      <c r="D320" s="4" t="s">
        <v>963</v>
      </c>
      <c r="F320" s="5">
        <f t="shared" si="37"/>
        <v>65</v>
      </c>
      <c r="G320" s="6">
        <v>13</v>
      </c>
      <c r="H320" s="8">
        <v>52</v>
      </c>
      <c r="I320" s="1">
        <f t="shared" si="32"/>
        <v>3.9</v>
      </c>
      <c r="J320">
        <f t="shared" si="33"/>
        <v>15.6</v>
      </c>
      <c r="K320">
        <f t="shared" si="34"/>
        <v>9.1</v>
      </c>
      <c r="L320">
        <f t="shared" si="35"/>
        <v>36.4</v>
      </c>
    </row>
    <row r="321" spans="1:12" x14ac:dyDescent="0.25">
      <c r="A321" s="1" t="s">
        <v>15</v>
      </c>
      <c r="B321" s="9" t="s">
        <v>964</v>
      </c>
      <c r="C321" s="3" t="s">
        <v>965</v>
      </c>
      <c r="D321" s="13" t="s">
        <v>966</v>
      </c>
      <c r="F321" s="5">
        <f t="shared" si="37"/>
        <v>93.600000000000009</v>
      </c>
      <c r="G321" s="6">
        <v>13</v>
      </c>
      <c r="H321" s="8">
        <v>80.600000000000009</v>
      </c>
      <c r="I321" s="1">
        <f t="shared" si="32"/>
        <v>3.9</v>
      </c>
      <c r="J321">
        <f t="shared" si="33"/>
        <v>24.180000000000003</v>
      </c>
      <c r="K321">
        <f t="shared" si="34"/>
        <v>9.1</v>
      </c>
      <c r="L321">
        <f t="shared" si="35"/>
        <v>56.42</v>
      </c>
    </row>
    <row r="322" spans="1:12" x14ac:dyDescent="0.25">
      <c r="A322" s="1" t="s">
        <v>15</v>
      </c>
      <c r="B322" s="9" t="s">
        <v>967</v>
      </c>
      <c r="C322" s="3" t="s">
        <v>968</v>
      </c>
      <c r="D322" s="13" t="s">
        <v>969</v>
      </c>
      <c r="F322" s="5">
        <f t="shared" si="37"/>
        <v>114.4</v>
      </c>
      <c r="G322" s="6">
        <v>13</v>
      </c>
      <c r="H322" s="8">
        <v>101.4</v>
      </c>
      <c r="I322" s="1">
        <f t="shared" si="32"/>
        <v>3.9</v>
      </c>
      <c r="J322">
        <f t="shared" si="33"/>
        <v>30.42</v>
      </c>
      <c r="K322">
        <f t="shared" si="34"/>
        <v>9.1</v>
      </c>
      <c r="L322">
        <f t="shared" si="35"/>
        <v>70.98</v>
      </c>
    </row>
    <row r="323" spans="1:12" x14ac:dyDescent="0.25">
      <c r="A323" s="1" t="s">
        <v>15</v>
      </c>
      <c r="B323" s="9" t="s">
        <v>970</v>
      </c>
      <c r="C323" s="3" t="s">
        <v>971</v>
      </c>
      <c r="D323" s="13" t="s">
        <v>972</v>
      </c>
      <c r="F323" s="5">
        <f t="shared" si="37"/>
        <v>39</v>
      </c>
      <c r="G323" s="6">
        <v>13</v>
      </c>
      <c r="H323" s="8">
        <v>26</v>
      </c>
      <c r="I323" s="1">
        <f t="shared" si="32"/>
        <v>3.9</v>
      </c>
      <c r="J323">
        <f t="shared" si="33"/>
        <v>7.8</v>
      </c>
      <c r="K323">
        <f t="shared" si="34"/>
        <v>9.1</v>
      </c>
      <c r="L323">
        <f t="shared" si="35"/>
        <v>18.2</v>
      </c>
    </row>
    <row r="324" spans="1:12" x14ac:dyDescent="0.25">
      <c r="A324" s="1" t="s">
        <v>15</v>
      </c>
      <c r="B324" s="9" t="s">
        <v>973</v>
      </c>
      <c r="C324" s="3" t="s">
        <v>974</v>
      </c>
      <c r="D324" s="13" t="s">
        <v>975</v>
      </c>
      <c r="F324" s="5">
        <f t="shared" si="37"/>
        <v>39</v>
      </c>
      <c r="G324" s="6">
        <v>13</v>
      </c>
      <c r="H324" s="8">
        <v>26</v>
      </c>
      <c r="I324" s="1">
        <f t="shared" ref="I324:I387" si="38">G324*0.3</f>
        <v>3.9</v>
      </c>
      <c r="J324">
        <f t="shared" ref="J324:J387" si="39">H324*0.3</f>
        <v>7.8</v>
      </c>
      <c r="K324">
        <f t="shared" ref="K324:K387" si="40">G324*0.7</f>
        <v>9.1</v>
      </c>
      <c r="L324">
        <f t="shared" ref="L324:L387" si="41">H324*0.7</f>
        <v>18.2</v>
      </c>
    </row>
    <row r="325" spans="1:12" x14ac:dyDescent="0.25">
      <c r="A325" s="1" t="s">
        <v>15</v>
      </c>
      <c r="B325" s="9" t="s">
        <v>976</v>
      </c>
      <c r="C325" s="3" t="s">
        <v>977</v>
      </c>
      <c r="D325" s="13" t="s">
        <v>978</v>
      </c>
      <c r="F325" s="5">
        <f t="shared" si="37"/>
        <v>107.9</v>
      </c>
      <c r="G325" s="6">
        <v>13</v>
      </c>
      <c r="H325" s="8">
        <v>94.9</v>
      </c>
      <c r="I325" s="1">
        <f t="shared" si="38"/>
        <v>3.9</v>
      </c>
      <c r="J325">
        <f t="shared" si="39"/>
        <v>28.470000000000002</v>
      </c>
      <c r="K325">
        <f t="shared" si="40"/>
        <v>9.1</v>
      </c>
      <c r="L325">
        <f t="shared" si="41"/>
        <v>66.430000000000007</v>
      </c>
    </row>
    <row r="326" spans="1:12" x14ac:dyDescent="0.25">
      <c r="A326" s="1" t="s">
        <v>15</v>
      </c>
      <c r="B326" s="9" t="s">
        <v>979</v>
      </c>
      <c r="C326" s="3" t="s">
        <v>980</v>
      </c>
      <c r="D326" s="4" t="s">
        <v>981</v>
      </c>
      <c r="F326" s="5">
        <f t="shared" si="37"/>
        <v>115.7</v>
      </c>
      <c r="G326" s="6">
        <v>13</v>
      </c>
      <c r="H326" s="8">
        <v>102.7</v>
      </c>
      <c r="I326" s="1">
        <f t="shared" si="38"/>
        <v>3.9</v>
      </c>
      <c r="J326">
        <f t="shared" si="39"/>
        <v>30.81</v>
      </c>
      <c r="K326">
        <f t="shared" si="40"/>
        <v>9.1</v>
      </c>
      <c r="L326">
        <f t="shared" si="41"/>
        <v>71.89</v>
      </c>
    </row>
    <row r="327" spans="1:12" x14ac:dyDescent="0.25">
      <c r="A327" s="1" t="s">
        <v>15</v>
      </c>
      <c r="B327" s="9" t="s">
        <v>982</v>
      </c>
      <c r="C327" s="3" t="s">
        <v>983</v>
      </c>
      <c r="D327" s="4" t="s">
        <v>984</v>
      </c>
      <c r="F327" s="5">
        <f t="shared" si="37"/>
        <v>39</v>
      </c>
      <c r="G327" s="6">
        <v>13</v>
      </c>
      <c r="H327" s="8">
        <v>26</v>
      </c>
      <c r="I327" s="1">
        <f t="shared" si="38"/>
        <v>3.9</v>
      </c>
      <c r="J327">
        <f t="shared" si="39"/>
        <v>7.8</v>
      </c>
      <c r="K327">
        <f t="shared" si="40"/>
        <v>9.1</v>
      </c>
      <c r="L327">
        <f t="shared" si="41"/>
        <v>18.2</v>
      </c>
    </row>
    <row r="328" spans="1:12" x14ac:dyDescent="0.25">
      <c r="A328" s="1" t="s">
        <v>15</v>
      </c>
      <c r="B328" s="9" t="s">
        <v>985</v>
      </c>
      <c r="C328" s="3" t="s">
        <v>986</v>
      </c>
      <c r="D328" s="4" t="s">
        <v>987</v>
      </c>
      <c r="F328" s="5">
        <f t="shared" si="37"/>
        <v>23.4</v>
      </c>
      <c r="G328" s="6">
        <v>13</v>
      </c>
      <c r="H328" s="8">
        <v>10.4</v>
      </c>
      <c r="I328" s="1">
        <f t="shared" si="38"/>
        <v>3.9</v>
      </c>
      <c r="J328">
        <f t="shared" si="39"/>
        <v>3.12</v>
      </c>
      <c r="K328">
        <f t="shared" si="40"/>
        <v>9.1</v>
      </c>
      <c r="L328">
        <f t="shared" si="41"/>
        <v>7.2799999999999994</v>
      </c>
    </row>
    <row r="329" spans="1:12" x14ac:dyDescent="0.25">
      <c r="A329" s="1" t="s">
        <v>15</v>
      </c>
      <c r="B329" s="9" t="s">
        <v>988</v>
      </c>
      <c r="C329" s="3" t="s">
        <v>989</v>
      </c>
      <c r="D329" s="4" t="s">
        <v>990</v>
      </c>
      <c r="F329" s="5">
        <f t="shared" si="37"/>
        <v>72.800000000000011</v>
      </c>
      <c r="G329" s="6">
        <v>13</v>
      </c>
      <c r="H329" s="8">
        <v>59.800000000000004</v>
      </c>
      <c r="I329" s="1">
        <f t="shared" si="38"/>
        <v>3.9</v>
      </c>
      <c r="J329">
        <f t="shared" si="39"/>
        <v>17.940000000000001</v>
      </c>
      <c r="K329">
        <f t="shared" si="40"/>
        <v>9.1</v>
      </c>
      <c r="L329">
        <f t="shared" si="41"/>
        <v>41.86</v>
      </c>
    </row>
    <row r="330" spans="1:12" x14ac:dyDescent="0.25">
      <c r="A330" s="1" t="s">
        <v>15</v>
      </c>
      <c r="B330" s="9" t="s">
        <v>991</v>
      </c>
      <c r="C330" s="3" t="s">
        <v>992</v>
      </c>
      <c r="D330" s="4" t="s">
        <v>993</v>
      </c>
      <c r="F330" s="5">
        <f t="shared" si="37"/>
        <v>127.4</v>
      </c>
      <c r="G330" s="6">
        <v>13</v>
      </c>
      <c r="H330" s="8">
        <v>114.4</v>
      </c>
      <c r="I330" s="1">
        <f t="shared" si="38"/>
        <v>3.9</v>
      </c>
      <c r="J330">
        <f t="shared" si="39"/>
        <v>34.32</v>
      </c>
      <c r="K330">
        <f t="shared" si="40"/>
        <v>9.1</v>
      </c>
      <c r="L330">
        <f t="shared" si="41"/>
        <v>80.08</v>
      </c>
    </row>
    <row r="331" spans="1:12" x14ac:dyDescent="0.25">
      <c r="A331" s="1" t="s">
        <v>15</v>
      </c>
      <c r="B331" s="9" t="s">
        <v>994</v>
      </c>
      <c r="C331" s="3" t="s">
        <v>995</v>
      </c>
      <c r="D331" s="4" t="s">
        <v>996</v>
      </c>
      <c r="F331" s="5">
        <f t="shared" si="37"/>
        <v>36.400000000000006</v>
      </c>
      <c r="G331" s="6">
        <v>13</v>
      </c>
      <c r="H331" s="8">
        <v>23.400000000000002</v>
      </c>
      <c r="I331" s="1">
        <f t="shared" si="38"/>
        <v>3.9</v>
      </c>
      <c r="J331">
        <f t="shared" si="39"/>
        <v>7.0200000000000005</v>
      </c>
      <c r="K331">
        <f t="shared" si="40"/>
        <v>9.1</v>
      </c>
      <c r="L331">
        <f t="shared" si="41"/>
        <v>16.38</v>
      </c>
    </row>
    <row r="332" spans="1:12" x14ac:dyDescent="0.25">
      <c r="A332" s="1" t="s">
        <v>15</v>
      </c>
      <c r="B332" s="9" t="s">
        <v>997</v>
      </c>
      <c r="C332" s="3" t="s">
        <v>998</v>
      </c>
      <c r="D332" s="4" t="s">
        <v>999</v>
      </c>
      <c r="F332" s="5">
        <f t="shared" si="37"/>
        <v>36.400000000000006</v>
      </c>
      <c r="G332" s="6">
        <v>13</v>
      </c>
      <c r="H332" s="8">
        <v>23.400000000000002</v>
      </c>
      <c r="I332" s="1">
        <f t="shared" si="38"/>
        <v>3.9</v>
      </c>
      <c r="J332">
        <f t="shared" si="39"/>
        <v>7.0200000000000005</v>
      </c>
      <c r="K332">
        <f t="shared" si="40"/>
        <v>9.1</v>
      </c>
      <c r="L332">
        <f t="shared" si="41"/>
        <v>16.38</v>
      </c>
    </row>
    <row r="333" spans="1:12" x14ac:dyDescent="0.25">
      <c r="A333" s="1" t="s">
        <v>15</v>
      </c>
      <c r="B333" s="9" t="s">
        <v>1000</v>
      </c>
      <c r="C333" s="3" t="s">
        <v>1001</v>
      </c>
      <c r="D333" s="4" t="s">
        <v>1002</v>
      </c>
      <c r="F333" s="5">
        <f t="shared" si="37"/>
        <v>85.8</v>
      </c>
      <c r="G333" s="6">
        <v>13</v>
      </c>
      <c r="H333" s="8">
        <v>72.8</v>
      </c>
      <c r="I333" s="1">
        <f t="shared" si="38"/>
        <v>3.9</v>
      </c>
      <c r="J333">
        <f t="shared" si="39"/>
        <v>21.84</v>
      </c>
      <c r="K333">
        <f t="shared" si="40"/>
        <v>9.1</v>
      </c>
      <c r="L333">
        <f t="shared" si="41"/>
        <v>50.959999999999994</v>
      </c>
    </row>
    <row r="334" spans="1:12" ht="30" x14ac:dyDescent="0.25">
      <c r="A334" s="1" t="s">
        <v>15</v>
      </c>
      <c r="B334" s="9" t="s">
        <v>1003</v>
      </c>
      <c r="C334" s="3" t="s">
        <v>1004</v>
      </c>
      <c r="D334" s="4" t="s">
        <v>1005</v>
      </c>
      <c r="F334" s="5">
        <f t="shared" si="37"/>
        <v>32.5</v>
      </c>
      <c r="G334" s="6">
        <v>13</v>
      </c>
      <c r="H334" s="8">
        <v>19.5</v>
      </c>
      <c r="I334" s="1">
        <f t="shared" si="38"/>
        <v>3.9</v>
      </c>
      <c r="J334">
        <f t="shared" si="39"/>
        <v>5.85</v>
      </c>
      <c r="K334">
        <f t="shared" si="40"/>
        <v>9.1</v>
      </c>
      <c r="L334">
        <f t="shared" si="41"/>
        <v>13.649999999999999</v>
      </c>
    </row>
    <row r="335" spans="1:12" x14ac:dyDescent="0.25">
      <c r="A335" s="1" t="s">
        <v>15</v>
      </c>
      <c r="B335" s="9" t="s">
        <v>1006</v>
      </c>
      <c r="C335" s="3" t="s">
        <v>1007</v>
      </c>
      <c r="D335" s="4" t="s">
        <v>1008</v>
      </c>
      <c r="F335" s="5">
        <f t="shared" si="37"/>
        <v>36.400000000000006</v>
      </c>
      <c r="G335" s="6">
        <v>13</v>
      </c>
      <c r="H335" s="8">
        <v>23.400000000000002</v>
      </c>
      <c r="I335" s="1">
        <f t="shared" si="38"/>
        <v>3.9</v>
      </c>
      <c r="J335">
        <f t="shared" si="39"/>
        <v>7.0200000000000005</v>
      </c>
      <c r="K335">
        <f t="shared" si="40"/>
        <v>9.1</v>
      </c>
      <c r="L335">
        <f t="shared" si="41"/>
        <v>16.38</v>
      </c>
    </row>
    <row r="336" spans="1:12" x14ac:dyDescent="0.25">
      <c r="A336" s="1" t="s">
        <v>15</v>
      </c>
      <c r="B336" s="9" t="s">
        <v>1009</v>
      </c>
      <c r="C336" s="3" t="s">
        <v>1010</v>
      </c>
      <c r="D336" s="4" t="s">
        <v>1011</v>
      </c>
      <c r="F336" s="5">
        <f t="shared" si="37"/>
        <v>114.4</v>
      </c>
      <c r="G336" s="6">
        <v>13</v>
      </c>
      <c r="H336" s="8">
        <v>101.4</v>
      </c>
      <c r="I336" s="1">
        <f t="shared" si="38"/>
        <v>3.9</v>
      </c>
      <c r="J336">
        <f t="shared" si="39"/>
        <v>30.42</v>
      </c>
      <c r="K336">
        <f t="shared" si="40"/>
        <v>9.1</v>
      </c>
      <c r="L336">
        <f t="shared" si="41"/>
        <v>70.98</v>
      </c>
    </row>
    <row r="337" spans="1:12" x14ac:dyDescent="0.25">
      <c r="A337" s="1" t="s">
        <v>15</v>
      </c>
      <c r="B337" s="9" t="s">
        <v>1012</v>
      </c>
      <c r="C337" s="3" t="s">
        <v>1013</v>
      </c>
      <c r="D337" s="13" t="s">
        <v>1014</v>
      </c>
      <c r="F337" s="5">
        <f t="shared" si="37"/>
        <v>36.400000000000006</v>
      </c>
      <c r="G337" s="6">
        <v>13</v>
      </c>
      <c r="H337" s="8">
        <v>23.400000000000002</v>
      </c>
      <c r="I337" s="1">
        <f t="shared" si="38"/>
        <v>3.9</v>
      </c>
      <c r="J337">
        <f t="shared" si="39"/>
        <v>7.0200000000000005</v>
      </c>
      <c r="K337">
        <f t="shared" si="40"/>
        <v>9.1</v>
      </c>
      <c r="L337">
        <f t="shared" si="41"/>
        <v>16.38</v>
      </c>
    </row>
    <row r="338" spans="1:12" x14ac:dyDescent="0.25">
      <c r="A338" s="1" t="s">
        <v>15</v>
      </c>
      <c r="B338" s="9" t="s">
        <v>1015</v>
      </c>
      <c r="C338" s="3" t="s">
        <v>1016</v>
      </c>
      <c r="D338" s="13" t="s">
        <v>1017</v>
      </c>
      <c r="F338" s="5">
        <f t="shared" si="37"/>
        <v>36.400000000000006</v>
      </c>
      <c r="G338" s="6">
        <v>13</v>
      </c>
      <c r="H338" s="8">
        <v>23.400000000000002</v>
      </c>
      <c r="I338" s="1">
        <f t="shared" si="38"/>
        <v>3.9</v>
      </c>
      <c r="J338">
        <f t="shared" si="39"/>
        <v>7.0200000000000005</v>
      </c>
      <c r="K338">
        <f t="shared" si="40"/>
        <v>9.1</v>
      </c>
      <c r="L338">
        <f t="shared" si="41"/>
        <v>16.38</v>
      </c>
    </row>
    <row r="339" spans="1:12" x14ac:dyDescent="0.25">
      <c r="A339" s="1" t="s">
        <v>15</v>
      </c>
      <c r="B339" s="9" t="s">
        <v>1018</v>
      </c>
      <c r="C339" s="3" t="s">
        <v>1019</v>
      </c>
      <c r="D339" s="13" t="s">
        <v>1020</v>
      </c>
      <c r="F339" s="5">
        <f t="shared" si="37"/>
        <v>88.4</v>
      </c>
      <c r="G339" s="6">
        <v>13</v>
      </c>
      <c r="H339" s="8">
        <v>75.400000000000006</v>
      </c>
      <c r="I339" s="1">
        <f t="shared" si="38"/>
        <v>3.9</v>
      </c>
      <c r="J339">
        <f t="shared" si="39"/>
        <v>22.62</v>
      </c>
      <c r="K339">
        <f t="shared" si="40"/>
        <v>9.1</v>
      </c>
      <c r="L339">
        <f t="shared" si="41"/>
        <v>52.78</v>
      </c>
    </row>
    <row r="340" spans="1:12" ht="30" x14ac:dyDescent="0.25">
      <c r="A340" s="1" t="s">
        <v>15</v>
      </c>
      <c r="B340" s="9" t="s">
        <v>1021</v>
      </c>
      <c r="C340" s="3" t="s">
        <v>1022</v>
      </c>
      <c r="D340" s="13" t="s">
        <v>1023</v>
      </c>
      <c r="F340" s="5">
        <f t="shared" si="37"/>
        <v>32.5</v>
      </c>
      <c r="G340" s="6">
        <v>13</v>
      </c>
      <c r="H340" s="8">
        <v>19.5</v>
      </c>
      <c r="I340" s="1">
        <f t="shared" si="38"/>
        <v>3.9</v>
      </c>
      <c r="J340">
        <f t="shared" si="39"/>
        <v>5.85</v>
      </c>
      <c r="K340">
        <f t="shared" si="40"/>
        <v>9.1</v>
      </c>
      <c r="L340">
        <f t="shared" si="41"/>
        <v>13.649999999999999</v>
      </c>
    </row>
    <row r="341" spans="1:12" x14ac:dyDescent="0.25">
      <c r="A341" s="1" t="s">
        <v>15</v>
      </c>
      <c r="B341" s="9" t="s">
        <v>1024</v>
      </c>
      <c r="C341" s="3" t="s">
        <v>1025</v>
      </c>
      <c r="D341" s="13" t="s">
        <v>1026</v>
      </c>
      <c r="F341" s="5">
        <f t="shared" si="37"/>
        <v>65</v>
      </c>
      <c r="G341" s="6">
        <v>13</v>
      </c>
      <c r="H341" s="8">
        <v>52</v>
      </c>
      <c r="I341" s="1">
        <f t="shared" si="38"/>
        <v>3.9</v>
      </c>
      <c r="J341">
        <f t="shared" si="39"/>
        <v>15.6</v>
      </c>
      <c r="K341">
        <f t="shared" si="40"/>
        <v>9.1</v>
      </c>
      <c r="L341">
        <f t="shared" si="41"/>
        <v>36.4</v>
      </c>
    </row>
    <row r="342" spans="1:12" x14ac:dyDescent="0.25">
      <c r="A342" s="1" t="s">
        <v>15</v>
      </c>
      <c r="B342" s="9" t="s">
        <v>1027</v>
      </c>
      <c r="C342" s="3" t="s">
        <v>1028</v>
      </c>
      <c r="D342" s="4" t="s">
        <v>1029</v>
      </c>
      <c r="F342" s="5">
        <f t="shared" si="37"/>
        <v>127.4</v>
      </c>
      <c r="G342" s="6">
        <v>13</v>
      </c>
      <c r="H342" s="8">
        <v>114.4</v>
      </c>
      <c r="I342" s="1">
        <f t="shared" si="38"/>
        <v>3.9</v>
      </c>
      <c r="J342">
        <f t="shared" si="39"/>
        <v>34.32</v>
      </c>
      <c r="K342">
        <f t="shared" si="40"/>
        <v>9.1</v>
      </c>
      <c r="L342">
        <f t="shared" si="41"/>
        <v>80.08</v>
      </c>
    </row>
    <row r="343" spans="1:12" x14ac:dyDescent="0.25">
      <c r="A343" s="1" t="s">
        <v>15</v>
      </c>
      <c r="B343" s="9" t="s">
        <v>1030</v>
      </c>
      <c r="C343" s="3" t="s">
        <v>1031</v>
      </c>
      <c r="D343" s="4" t="s">
        <v>1032</v>
      </c>
      <c r="F343" s="5">
        <f t="shared" si="37"/>
        <v>127.4</v>
      </c>
      <c r="G343" s="6">
        <v>13</v>
      </c>
      <c r="H343" s="8">
        <v>114.4</v>
      </c>
      <c r="I343" s="1">
        <f t="shared" si="38"/>
        <v>3.9</v>
      </c>
      <c r="J343">
        <f t="shared" si="39"/>
        <v>34.32</v>
      </c>
      <c r="K343">
        <f t="shared" si="40"/>
        <v>9.1</v>
      </c>
      <c r="L343">
        <f t="shared" si="41"/>
        <v>80.08</v>
      </c>
    </row>
    <row r="344" spans="1:12" x14ac:dyDescent="0.25">
      <c r="A344" s="1" t="s">
        <v>15</v>
      </c>
      <c r="B344" s="9" t="s">
        <v>1033</v>
      </c>
      <c r="C344" s="3" t="s">
        <v>1034</v>
      </c>
      <c r="D344" s="4" t="s">
        <v>1035</v>
      </c>
      <c r="F344" s="5">
        <f t="shared" si="37"/>
        <v>36.400000000000006</v>
      </c>
      <c r="G344" s="6">
        <v>13</v>
      </c>
      <c r="H344" s="8">
        <v>23.400000000000002</v>
      </c>
      <c r="I344" s="1">
        <f t="shared" si="38"/>
        <v>3.9</v>
      </c>
      <c r="J344">
        <f t="shared" si="39"/>
        <v>7.0200000000000005</v>
      </c>
      <c r="K344">
        <f t="shared" si="40"/>
        <v>9.1</v>
      </c>
      <c r="L344">
        <f t="shared" si="41"/>
        <v>16.38</v>
      </c>
    </row>
    <row r="345" spans="1:12" x14ac:dyDescent="0.25">
      <c r="A345" s="1" t="s">
        <v>15</v>
      </c>
      <c r="B345" s="9" t="s">
        <v>1036</v>
      </c>
      <c r="C345" s="3" t="s">
        <v>1037</v>
      </c>
      <c r="D345" s="4" t="s">
        <v>1038</v>
      </c>
      <c r="F345" s="5">
        <f t="shared" si="37"/>
        <v>39</v>
      </c>
      <c r="G345" s="6">
        <v>13</v>
      </c>
      <c r="H345" s="8">
        <v>26</v>
      </c>
      <c r="I345" s="1">
        <f t="shared" si="38"/>
        <v>3.9</v>
      </c>
      <c r="J345">
        <f t="shared" si="39"/>
        <v>7.8</v>
      </c>
      <c r="K345">
        <f t="shared" si="40"/>
        <v>9.1</v>
      </c>
      <c r="L345">
        <f t="shared" si="41"/>
        <v>18.2</v>
      </c>
    </row>
    <row r="346" spans="1:12" x14ac:dyDescent="0.25">
      <c r="A346" s="1" t="s">
        <v>15</v>
      </c>
      <c r="B346" s="9" t="s">
        <v>1039</v>
      </c>
      <c r="C346" s="3" t="s">
        <v>1040</v>
      </c>
      <c r="D346" s="4" t="s">
        <v>1041</v>
      </c>
      <c r="F346" s="5">
        <f t="shared" si="37"/>
        <v>91</v>
      </c>
      <c r="G346" s="6">
        <v>13</v>
      </c>
      <c r="H346" s="8">
        <v>78</v>
      </c>
      <c r="I346" s="1">
        <f t="shared" si="38"/>
        <v>3.9</v>
      </c>
      <c r="J346">
        <f t="shared" si="39"/>
        <v>23.4</v>
      </c>
      <c r="K346">
        <f t="shared" si="40"/>
        <v>9.1</v>
      </c>
      <c r="L346">
        <f t="shared" si="41"/>
        <v>54.599999999999994</v>
      </c>
    </row>
    <row r="347" spans="1:12" x14ac:dyDescent="0.25">
      <c r="A347" s="1" t="s">
        <v>15</v>
      </c>
      <c r="B347" s="9" t="s">
        <v>1042</v>
      </c>
      <c r="C347" s="3" t="s">
        <v>1043</v>
      </c>
      <c r="D347" s="4" t="s">
        <v>1044</v>
      </c>
      <c r="F347" s="5">
        <f t="shared" si="37"/>
        <v>52</v>
      </c>
      <c r="G347" s="6">
        <v>13</v>
      </c>
      <c r="H347" s="8">
        <v>39</v>
      </c>
      <c r="I347" s="1">
        <f t="shared" si="38"/>
        <v>3.9</v>
      </c>
      <c r="J347">
        <f t="shared" si="39"/>
        <v>11.7</v>
      </c>
      <c r="K347">
        <f t="shared" si="40"/>
        <v>9.1</v>
      </c>
      <c r="L347">
        <f t="shared" si="41"/>
        <v>27.299999999999997</v>
      </c>
    </row>
    <row r="348" spans="1:12" x14ac:dyDescent="0.25">
      <c r="A348" s="1" t="s">
        <v>15</v>
      </c>
      <c r="B348" s="9" t="s">
        <v>1045</v>
      </c>
      <c r="C348" s="3" t="s">
        <v>1046</v>
      </c>
      <c r="D348" s="4" t="s">
        <v>1047</v>
      </c>
      <c r="F348" s="5">
        <f t="shared" si="37"/>
        <v>39</v>
      </c>
      <c r="G348" s="6">
        <v>13</v>
      </c>
      <c r="H348" s="8">
        <v>26</v>
      </c>
      <c r="I348" s="1">
        <f t="shared" si="38"/>
        <v>3.9</v>
      </c>
      <c r="J348">
        <f t="shared" si="39"/>
        <v>7.8</v>
      </c>
      <c r="K348">
        <f t="shared" si="40"/>
        <v>9.1</v>
      </c>
      <c r="L348">
        <f t="shared" si="41"/>
        <v>18.2</v>
      </c>
    </row>
    <row r="349" spans="1:12" x14ac:dyDescent="0.25">
      <c r="A349" s="1" t="s">
        <v>15</v>
      </c>
      <c r="B349" s="9" t="s">
        <v>1048</v>
      </c>
      <c r="C349" s="3" t="s">
        <v>1049</v>
      </c>
      <c r="D349" s="4" t="s">
        <v>1050</v>
      </c>
      <c r="F349" s="5">
        <f t="shared" si="37"/>
        <v>36.400000000000006</v>
      </c>
      <c r="G349" s="6">
        <v>13</v>
      </c>
      <c r="H349" s="8">
        <v>23.400000000000002</v>
      </c>
      <c r="I349" s="1">
        <f t="shared" si="38"/>
        <v>3.9</v>
      </c>
      <c r="J349">
        <f t="shared" si="39"/>
        <v>7.0200000000000005</v>
      </c>
      <c r="K349">
        <f t="shared" si="40"/>
        <v>9.1</v>
      </c>
      <c r="L349">
        <f t="shared" si="41"/>
        <v>16.38</v>
      </c>
    </row>
    <row r="350" spans="1:12" x14ac:dyDescent="0.25">
      <c r="A350" s="1" t="s">
        <v>15</v>
      </c>
      <c r="B350" s="9" t="s">
        <v>1051</v>
      </c>
      <c r="C350" s="3" t="s">
        <v>1052</v>
      </c>
      <c r="D350" s="4" t="s">
        <v>1053</v>
      </c>
      <c r="F350" s="5">
        <f t="shared" si="37"/>
        <v>36.400000000000006</v>
      </c>
      <c r="G350" s="6">
        <v>13</v>
      </c>
      <c r="H350" s="8">
        <v>23.400000000000002</v>
      </c>
      <c r="I350" s="1">
        <f t="shared" si="38"/>
        <v>3.9</v>
      </c>
      <c r="J350">
        <f t="shared" si="39"/>
        <v>7.0200000000000005</v>
      </c>
      <c r="K350">
        <f t="shared" si="40"/>
        <v>9.1</v>
      </c>
      <c r="L350">
        <f t="shared" si="41"/>
        <v>16.38</v>
      </c>
    </row>
    <row r="351" spans="1:12" x14ac:dyDescent="0.25">
      <c r="A351" s="1" t="s">
        <v>15</v>
      </c>
      <c r="B351" s="9" t="s">
        <v>1054</v>
      </c>
      <c r="C351" s="3" t="s">
        <v>1055</v>
      </c>
      <c r="D351" s="4" t="s">
        <v>1056</v>
      </c>
      <c r="F351" s="5">
        <f t="shared" si="37"/>
        <v>36.400000000000006</v>
      </c>
      <c r="G351" s="6">
        <v>13</v>
      </c>
      <c r="H351" s="8">
        <v>23.400000000000002</v>
      </c>
      <c r="I351" s="1">
        <f t="shared" si="38"/>
        <v>3.9</v>
      </c>
      <c r="J351">
        <f t="shared" si="39"/>
        <v>7.0200000000000005</v>
      </c>
      <c r="K351">
        <f t="shared" si="40"/>
        <v>9.1</v>
      </c>
      <c r="L351">
        <f t="shared" si="41"/>
        <v>16.38</v>
      </c>
    </row>
    <row r="352" spans="1:12" x14ac:dyDescent="0.25">
      <c r="A352" s="1" t="s">
        <v>15</v>
      </c>
      <c r="B352" s="9" t="s">
        <v>1057</v>
      </c>
      <c r="C352" s="3" t="s">
        <v>1058</v>
      </c>
      <c r="D352" s="13" t="s">
        <v>1059</v>
      </c>
      <c r="F352" s="5">
        <f t="shared" si="37"/>
        <v>39</v>
      </c>
      <c r="G352" s="6">
        <v>13</v>
      </c>
      <c r="H352" s="8">
        <v>26</v>
      </c>
      <c r="I352" s="1">
        <f t="shared" si="38"/>
        <v>3.9</v>
      </c>
      <c r="J352">
        <f t="shared" si="39"/>
        <v>7.8</v>
      </c>
      <c r="K352">
        <f t="shared" si="40"/>
        <v>9.1</v>
      </c>
      <c r="L352">
        <f t="shared" si="41"/>
        <v>18.2</v>
      </c>
    </row>
    <row r="353" spans="1:12" x14ac:dyDescent="0.25">
      <c r="A353" s="1" t="s">
        <v>15</v>
      </c>
      <c r="B353" s="9" t="s">
        <v>1060</v>
      </c>
      <c r="C353" s="3" t="s">
        <v>1061</v>
      </c>
      <c r="D353" s="13" t="s">
        <v>1062</v>
      </c>
      <c r="F353" s="5">
        <f t="shared" si="37"/>
        <v>36.400000000000006</v>
      </c>
      <c r="G353" s="6">
        <v>13</v>
      </c>
      <c r="H353" s="8">
        <v>23.400000000000002</v>
      </c>
      <c r="I353" s="1">
        <f t="shared" si="38"/>
        <v>3.9</v>
      </c>
      <c r="J353">
        <f t="shared" si="39"/>
        <v>7.0200000000000005</v>
      </c>
      <c r="K353">
        <f t="shared" si="40"/>
        <v>9.1</v>
      </c>
      <c r="L353">
        <f t="shared" si="41"/>
        <v>16.38</v>
      </c>
    </row>
    <row r="354" spans="1:12" x14ac:dyDescent="0.25">
      <c r="A354" s="1" t="s">
        <v>15</v>
      </c>
      <c r="B354" s="9" t="s">
        <v>1063</v>
      </c>
      <c r="C354" s="3" t="s">
        <v>1064</v>
      </c>
      <c r="D354" s="13" t="s">
        <v>1065</v>
      </c>
      <c r="F354" s="5">
        <f t="shared" si="37"/>
        <v>127.4</v>
      </c>
      <c r="G354" s="6">
        <v>13</v>
      </c>
      <c r="H354" s="8">
        <v>114.4</v>
      </c>
      <c r="I354" s="1">
        <f t="shared" si="38"/>
        <v>3.9</v>
      </c>
      <c r="J354">
        <f t="shared" si="39"/>
        <v>34.32</v>
      </c>
      <c r="K354">
        <f t="shared" si="40"/>
        <v>9.1</v>
      </c>
      <c r="L354">
        <f t="shared" si="41"/>
        <v>80.08</v>
      </c>
    </row>
    <row r="355" spans="1:12" x14ac:dyDescent="0.25">
      <c r="A355" s="1" t="s">
        <v>15</v>
      </c>
      <c r="B355" s="9" t="s">
        <v>1066</v>
      </c>
      <c r="C355" s="3" t="s">
        <v>1067</v>
      </c>
      <c r="D355" s="13" t="s">
        <v>1068</v>
      </c>
      <c r="F355" s="5">
        <f t="shared" si="37"/>
        <v>114.4</v>
      </c>
      <c r="G355" s="6">
        <v>13</v>
      </c>
      <c r="H355" s="8">
        <v>101.4</v>
      </c>
      <c r="I355" s="1">
        <f t="shared" si="38"/>
        <v>3.9</v>
      </c>
      <c r="J355">
        <f t="shared" si="39"/>
        <v>30.42</v>
      </c>
      <c r="K355">
        <f t="shared" si="40"/>
        <v>9.1</v>
      </c>
      <c r="L355">
        <f t="shared" si="41"/>
        <v>70.98</v>
      </c>
    </row>
    <row r="356" spans="1:12" x14ac:dyDescent="0.25">
      <c r="A356" s="1" t="s">
        <v>15</v>
      </c>
      <c r="B356" s="9" t="s">
        <v>1069</v>
      </c>
      <c r="C356" s="3" t="s">
        <v>1070</v>
      </c>
      <c r="D356" s="13" t="s">
        <v>1071</v>
      </c>
      <c r="F356" s="5">
        <f t="shared" si="37"/>
        <v>39</v>
      </c>
      <c r="G356" s="6">
        <v>13</v>
      </c>
      <c r="H356" s="8">
        <v>26</v>
      </c>
      <c r="I356" s="1">
        <f t="shared" si="38"/>
        <v>3.9</v>
      </c>
      <c r="J356">
        <f t="shared" si="39"/>
        <v>7.8</v>
      </c>
      <c r="K356">
        <f t="shared" si="40"/>
        <v>9.1</v>
      </c>
      <c r="L356">
        <f t="shared" si="41"/>
        <v>18.2</v>
      </c>
    </row>
    <row r="357" spans="1:12" x14ac:dyDescent="0.25">
      <c r="A357" s="1" t="s">
        <v>15</v>
      </c>
      <c r="B357" s="9" t="s">
        <v>1072</v>
      </c>
      <c r="C357" s="3" t="s">
        <v>1073</v>
      </c>
      <c r="D357" s="13" t="s">
        <v>1074</v>
      </c>
      <c r="F357" s="5"/>
      <c r="G357" s="6"/>
      <c r="H357" s="8"/>
      <c r="I357" s="1">
        <f t="shared" si="38"/>
        <v>0</v>
      </c>
      <c r="J357">
        <f t="shared" si="39"/>
        <v>0</v>
      </c>
      <c r="K357">
        <f t="shared" si="40"/>
        <v>0</v>
      </c>
      <c r="L357">
        <f t="shared" si="41"/>
        <v>0</v>
      </c>
    </row>
    <row r="358" spans="1:12" x14ac:dyDescent="0.25">
      <c r="A358" s="1" t="s">
        <v>15</v>
      </c>
      <c r="B358" s="9" t="s">
        <v>1075</v>
      </c>
      <c r="C358" s="3" t="s">
        <v>1076</v>
      </c>
      <c r="D358" s="13" t="s">
        <v>1077</v>
      </c>
      <c r="F358" s="5"/>
      <c r="G358" s="6"/>
      <c r="H358" s="8"/>
      <c r="I358" s="1">
        <f t="shared" si="38"/>
        <v>0</v>
      </c>
      <c r="J358">
        <f t="shared" si="39"/>
        <v>0</v>
      </c>
      <c r="K358">
        <f t="shared" si="40"/>
        <v>0</v>
      </c>
      <c r="L358">
        <f t="shared" si="41"/>
        <v>0</v>
      </c>
    </row>
    <row r="359" spans="1:12" x14ac:dyDescent="0.25">
      <c r="A359" s="1" t="s">
        <v>15</v>
      </c>
      <c r="B359" s="9" t="s">
        <v>1078</v>
      </c>
      <c r="C359" s="3" t="s">
        <v>1079</v>
      </c>
      <c r="D359" s="13" t="s">
        <v>1080</v>
      </c>
      <c r="F359" s="5"/>
      <c r="G359" s="6"/>
      <c r="H359" s="8"/>
      <c r="I359" s="1">
        <f t="shared" si="38"/>
        <v>0</v>
      </c>
      <c r="J359">
        <f t="shared" si="39"/>
        <v>0</v>
      </c>
      <c r="K359">
        <f t="shared" si="40"/>
        <v>0</v>
      </c>
      <c r="L359">
        <f t="shared" si="41"/>
        <v>0</v>
      </c>
    </row>
    <row r="360" spans="1:12" x14ac:dyDescent="0.25">
      <c r="A360" s="1" t="s">
        <v>15</v>
      </c>
      <c r="B360" s="9" t="s">
        <v>1081</v>
      </c>
      <c r="C360" s="3" t="s">
        <v>1082</v>
      </c>
      <c r="D360" s="4" t="s">
        <v>1083</v>
      </c>
      <c r="F360" s="5">
        <f t="shared" si="37"/>
        <v>127.4</v>
      </c>
      <c r="G360" s="6">
        <v>13</v>
      </c>
      <c r="H360" s="8">
        <v>114.4</v>
      </c>
      <c r="I360" s="1">
        <f t="shared" si="38"/>
        <v>3.9</v>
      </c>
      <c r="J360">
        <f t="shared" si="39"/>
        <v>34.32</v>
      </c>
      <c r="K360">
        <f t="shared" si="40"/>
        <v>9.1</v>
      </c>
      <c r="L360">
        <f t="shared" si="41"/>
        <v>80.08</v>
      </c>
    </row>
    <row r="361" spans="1:12" x14ac:dyDescent="0.25">
      <c r="A361" s="1" t="s">
        <v>15</v>
      </c>
      <c r="B361" s="9" t="s">
        <v>1084</v>
      </c>
      <c r="C361" s="3" t="s">
        <v>1085</v>
      </c>
      <c r="D361" s="4" t="s">
        <v>1086</v>
      </c>
      <c r="F361" s="5">
        <f t="shared" si="37"/>
        <v>127.4</v>
      </c>
      <c r="G361" s="6">
        <v>13</v>
      </c>
      <c r="H361" s="8">
        <v>114.4</v>
      </c>
      <c r="I361" s="1">
        <f t="shared" si="38"/>
        <v>3.9</v>
      </c>
      <c r="J361">
        <f t="shared" si="39"/>
        <v>34.32</v>
      </c>
      <c r="K361">
        <f t="shared" si="40"/>
        <v>9.1</v>
      </c>
      <c r="L361">
        <f t="shared" si="41"/>
        <v>80.08</v>
      </c>
    </row>
    <row r="362" spans="1:12" x14ac:dyDescent="0.25">
      <c r="A362" s="1" t="s">
        <v>15</v>
      </c>
      <c r="B362" s="9" t="s">
        <v>1087</v>
      </c>
      <c r="C362" s="3" t="s">
        <v>1088</v>
      </c>
      <c r="D362" s="4" t="s">
        <v>1089</v>
      </c>
      <c r="F362" s="5">
        <f t="shared" si="37"/>
        <v>39</v>
      </c>
      <c r="G362" s="6">
        <v>13</v>
      </c>
      <c r="H362" s="8">
        <v>26</v>
      </c>
      <c r="I362" s="1">
        <f t="shared" si="38"/>
        <v>3.9</v>
      </c>
      <c r="J362">
        <f t="shared" si="39"/>
        <v>7.8</v>
      </c>
      <c r="K362">
        <f t="shared" si="40"/>
        <v>9.1</v>
      </c>
      <c r="L362">
        <f t="shared" si="41"/>
        <v>18.2</v>
      </c>
    </row>
    <row r="363" spans="1:12" x14ac:dyDescent="0.25">
      <c r="A363" s="1" t="s">
        <v>15</v>
      </c>
      <c r="B363" s="9" t="s">
        <v>1090</v>
      </c>
      <c r="C363" s="3" t="s">
        <v>1091</v>
      </c>
      <c r="D363" s="4" t="s">
        <v>1092</v>
      </c>
      <c r="F363" s="5">
        <f t="shared" si="37"/>
        <v>39</v>
      </c>
      <c r="G363" s="6">
        <v>13</v>
      </c>
      <c r="H363" s="8">
        <v>26</v>
      </c>
      <c r="I363" s="1">
        <f t="shared" si="38"/>
        <v>3.9</v>
      </c>
      <c r="J363">
        <f t="shared" si="39"/>
        <v>7.8</v>
      </c>
      <c r="K363">
        <f t="shared" si="40"/>
        <v>9.1</v>
      </c>
      <c r="L363">
        <f t="shared" si="41"/>
        <v>18.2</v>
      </c>
    </row>
    <row r="364" spans="1:12" x14ac:dyDescent="0.25">
      <c r="A364" s="1" t="s">
        <v>15</v>
      </c>
      <c r="B364" s="9" t="s">
        <v>1093</v>
      </c>
      <c r="C364" s="3" t="s">
        <v>1094</v>
      </c>
      <c r="D364" s="4" t="s">
        <v>1095</v>
      </c>
      <c r="F364" s="5">
        <f t="shared" si="37"/>
        <v>16.899999999999999</v>
      </c>
      <c r="G364" s="6">
        <v>13</v>
      </c>
      <c r="H364" s="8">
        <v>3.9000000000000004</v>
      </c>
      <c r="I364" s="1">
        <f t="shared" si="38"/>
        <v>3.9</v>
      </c>
      <c r="J364">
        <f t="shared" si="39"/>
        <v>1.1700000000000002</v>
      </c>
      <c r="K364">
        <f t="shared" si="40"/>
        <v>9.1</v>
      </c>
      <c r="L364">
        <f t="shared" si="41"/>
        <v>2.73</v>
      </c>
    </row>
    <row r="365" spans="1:12" x14ac:dyDescent="0.25">
      <c r="A365" s="1" t="s">
        <v>15</v>
      </c>
      <c r="B365" s="9" t="s">
        <v>1096</v>
      </c>
      <c r="C365" s="3" t="s">
        <v>1097</v>
      </c>
      <c r="D365" s="4" t="s">
        <v>1098</v>
      </c>
      <c r="F365" s="5">
        <f t="shared" si="37"/>
        <v>16.899999999999999</v>
      </c>
      <c r="G365" s="6">
        <v>13</v>
      </c>
      <c r="H365" s="8">
        <v>3.9000000000000004</v>
      </c>
      <c r="I365" s="1">
        <f t="shared" si="38"/>
        <v>3.9</v>
      </c>
      <c r="J365">
        <f t="shared" si="39"/>
        <v>1.1700000000000002</v>
      </c>
      <c r="K365">
        <f t="shared" si="40"/>
        <v>9.1</v>
      </c>
      <c r="L365">
        <f t="shared" si="41"/>
        <v>2.73</v>
      </c>
    </row>
    <row r="366" spans="1:12" x14ac:dyDescent="0.25">
      <c r="A366" s="1" t="s">
        <v>15</v>
      </c>
      <c r="B366" s="9" t="s">
        <v>1099</v>
      </c>
      <c r="C366" s="3" t="s">
        <v>1100</v>
      </c>
      <c r="D366" s="4" t="s">
        <v>1101</v>
      </c>
      <c r="F366" s="5">
        <f t="shared" si="37"/>
        <v>39</v>
      </c>
      <c r="G366" s="6">
        <v>13</v>
      </c>
      <c r="H366" s="8">
        <v>26</v>
      </c>
      <c r="I366" s="1">
        <f t="shared" si="38"/>
        <v>3.9</v>
      </c>
      <c r="J366">
        <f t="shared" si="39"/>
        <v>7.8</v>
      </c>
      <c r="K366">
        <f t="shared" si="40"/>
        <v>9.1</v>
      </c>
      <c r="L366">
        <f t="shared" si="41"/>
        <v>18.2</v>
      </c>
    </row>
    <row r="367" spans="1:12" x14ac:dyDescent="0.25">
      <c r="A367" s="1" t="s">
        <v>15</v>
      </c>
      <c r="B367" s="9" t="s">
        <v>1102</v>
      </c>
      <c r="C367" s="3" t="s">
        <v>1103</v>
      </c>
      <c r="D367" s="4" t="s">
        <v>1104</v>
      </c>
      <c r="F367" s="5">
        <f t="shared" ref="F367:F463" si="42">G367+H367</f>
        <v>36.400000000000006</v>
      </c>
      <c r="G367" s="6">
        <v>13</v>
      </c>
      <c r="H367" s="8">
        <v>23.400000000000002</v>
      </c>
      <c r="I367" s="1">
        <f t="shared" si="38"/>
        <v>3.9</v>
      </c>
      <c r="J367">
        <f t="shared" si="39"/>
        <v>7.0200000000000005</v>
      </c>
      <c r="K367">
        <f t="shared" si="40"/>
        <v>9.1</v>
      </c>
      <c r="L367">
        <f t="shared" si="41"/>
        <v>16.38</v>
      </c>
    </row>
    <row r="368" spans="1:12" ht="45" x14ac:dyDescent="0.25">
      <c r="A368" s="1" t="s">
        <v>15</v>
      </c>
      <c r="B368" s="9" t="s">
        <v>1105</v>
      </c>
      <c r="C368" s="3" t="s">
        <v>1106</v>
      </c>
      <c r="D368" s="4" t="s">
        <v>1107</v>
      </c>
      <c r="F368" s="5">
        <f t="shared" si="42"/>
        <v>127.4</v>
      </c>
      <c r="G368" s="6">
        <v>13</v>
      </c>
      <c r="H368" s="8">
        <v>114.4</v>
      </c>
      <c r="I368" s="1">
        <f t="shared" si="38"/>
        <v>3.9</v>
      </c>
      <c r="J368">
        <f t="shared" si="39"/>
        <v>34.32</v>
      </c>
      <c r="K368">
        <f t="shared" si="40"/>
        <v>9.1</v>
      </c>
      <c r="L368">
        <f t="shared" si="41"/>
        <v>80.08</v>
      </c>
    </row>
    <row r="369" spans="1:12" ht="30" x14ac:dyDescent="0.25">
      <c r="A369" s="1" t="s">
        <v>15</v>
      </c>
      <c r="B369" s="9" t="s">
        <v>1108</v>
      </c>
      <c r="C369" s="3" t="s">
        <v>1109</v>
      </c>
      <c r="D369" s="4" t="s">
        <v>1110</v>
      </c>
      <c r="F369" s="5">
        <f t="shared" si="42"/>
        <v>127.4</v>
      </c>
      <c r="G369" s="6">
        <v>13</v>
      </c>
      <c r="H369" s="8">
        <v>114.4</v>
      </c>
      <c r="I369" s="1">
        <f t="shared" si="38"/>
        <v>3.9</v>
      </c>
      <c r="J369">
        <f t="shared" si="39"/>
        <v>34.32</v>
      </c>
      <c r="K369">
        <f t="shared" si="40"/>
        <v>9.1</v>
      </c>
      <c r="L369">
        <f t="shared" si="41"/>
        <v>80.08</v>
      </c>
    </row>
    <row r="370" spans="1:12" x14ac:dyDescent="0.25">
      <c r="A370" s="1" t="s">
        <v>15</v>
      </c>
      <c r="B370" s="9" t="s">
        <v>1111</v>
      </c>
      <c r="C370" s="3" t="s">
        <v>1112</v>
      </c>
      <c r="D370" s="13" t="s">
        <v>1113</v>
      </c>
      <c r="F370" s="5">
        <f t="shared" si="42"/>
        <v>91</v>
      </c>
      <c r="G370" s="6">
        <v>13</v>
      </c>
      <c r="H370" s="8">
        <v>78</v>
      </c>
      <c r="I370" s="1">
        <f t="shared" si="38"/>
        <v>3.9</v>
      </c>
      <c r="J370">
        <f t="shared" si="39"/>
        <v>23.4</v>
      </c>
      <c r="K370">
        <f t="shared" si="40"/>
        <v>9.1</v>
      </c>
      <c r="L370">
        <f t="shared" si="41"/>
        <v>54.599999999999994</v>
      </c>
    </row>
    <row r="371" spans="1:12" x14ac:dyDescent="0.25">
      <c r="A371" s="1" t="s">
        <v>15</v>
      </c>
      <c r="B371" s="9" t="s">
        <v>1114</v>
      </c>
      <c r="C371" s="3" t="s">
        <v>1115</v>
      </c>
      <c r="D371" s="13" t="s">
        <v>1116</v>
      </c>
      <c r="F371" s="5">
        <f t="shared" si="42"/>
        <v>26</v>
      </c>
      <c r="G371" s="6">
        <v>6.5</v>
      </c>
      <c r="H371" s="8">
        <v>19.5</v>
      </c>
      <c r="I371" s="1">
        <f t="shared" si="38"/>
        <v>1.95</v>
      </c>
      <c r="J371">
        <f t="shared" si="39"/>
        <v>5.85</v>
      </c>
      <c r="K371">
        <f t="shared" si="40"/>
        <v>4.55</v>
      </c>
      <c r="L371">
        <f t="shared" si="41"/>
        <v>13.649999999999999</v>
      </c>
    </row>
    <row r="372" spans="1:12" x14ac:dyDescent="0.25">
      <c r="A372" s="1" t="s">
        <v>15</v>
      </c>
      <c r="B372" s="9" t="s">
        <v>1117</v>
      </c>
      <c r="C372" s="3" t="s">
        <v>1118</v>
      </c>
      <c r="D372" s="13" t="s">
        <v>1119</v>
      </c>
      <c r="F372" s="5">
        <f t="shared" si="42"/>
        <v>26</v>
      </c>
      <c r="G372" s="6">
        <v>6.5</v>
      </c>
      <c r="H372" s="8">
        <v>19.5</v>
      </c>
      <c r="I372" s="1">
        <f t="shared" si="38"/>
        <v>1.95</v>
      </c>
      <c r="J372">
        <f t="shared" si="39"/>
        <v>5.85</v>
      </c>
      <c r="K372">
        <f t="shared" si="40"/>
        <v>4.55</v>
      </c>
      <c r="L372">
        <f t="shared" si="41"/>
        <v>13.649999999999999</v>
      </c>
    </row>
    <row r="373" spans="1:12" x14ac:dyDescent="0.25">
      <c r="A373" s="1" t="s">
        <v>15</v>
      </c>
      <c r="B373" s="9" t="s">
        <v>1120</v>
      </c>
      <c r="C373" s="3" t="s">
        <v>1121</v>
      </c>
      <c r="D373" s="13" t="s">
        <v>1122</v>
      </c>
      <c r="F373" s="5">
        <f t="shared" si="42"/>
        <v>26</v>
      </c>
      <c r="G373" s="6">
        <v>6.5</v>
      </c>
      <c r="H373" s="8">
        <v>19.5</v>
      </c>
      <c r="I373" s="1">
        <f t="shared" si="38"/>
        <v>1.95</v>
      </c>
      <c r="J373">
        <f t="shared" si="39"/>
        <v>5.85</v>
      </c>
      <c r="K373">
        <f t="shared" si="40"/>
        <v>4.55</v>
      </c>
      <c r="L373">
        <f t="shared" si="41"/>
        <v>13.649999999999999</v>
      </c>
    </row>
    <row r="374" spans="1:12" x14ac:dyDescent="0.25">
      <c r="A374" s="1" t="s">
        <v>15</v>
      </c>
      <c r="B374" s="9" t="s">
        <v>1123</v>
      </c>
      <c r="C374" s="3" t="s">
        <v>1124</v>
      </c>
      <c r="D374" s="13" t="s">
        <v>1125</v>
      </c>
      <c r="F374" s="5">
        <f t="shared" si="42"/>
        <v>26</v>
      </c>
      <c r="G374" s="6">
        <v>6.5</v>
      </c>
      <c r="H374" s="8">
        <v>19.5</v>
      </c>
      <c r="I374" s="1">
        <f t="shared" si="38"/>
        <v>1.95</v>
      </c>
      <c r="J374">
        <f t="shared" si="39"/>
        <v>5.85</v>
      </c>
      <c r="K374">
        <f t="shared" si="40"/>
        <v>4.55</v>
      </c>
      <c r="L374">
        <f t="shared" si="41"/>
        <v>13.649999999999999</v>
      </c>
    </row>
    <row r="375" spans="1:12" x14ac:dyDescent="0.25">
      <c r="A375" s="1" t="s">
        <v>15</v>
      </c>
      <c r="B375" s="9" t="s">
        <v>1126</v>
      </c>
      <c r="C375" s="3" t="s">
        <v>1127</v>
      </c>
      <c r="D375" s="13" t="s">
        <v>1128</v>
      </c>
      <c r="F375" s="5">
        <f t="shared" si="42"/>
        <v>127.4</v>
      </c>
      <c r="G375" s="6">
        <v>13</v>
      </c>
      <c r="H375" s="8">
        <v>114.4</v>
      </c>
      <c r="I375" s="1">
        <f t="shared" si="38"/>
        <v>3.9</v>
      </c>
      <c r="J375">
        <f t="shared" si="39"/>
        <v>34.32</v>
      </c>
      <c r="K375">
        <f t="shared" si="40"/>
        <v>9.1</v>
      </c>
      <c r="L375">
        <f t="shared" si="41"/>
        <v>80.08</v>
      </c>
    </row>
    <row r="376" spans="1:12" x14ac:dyDescent="0.25">
      <c r="A376" s="1" t="s">
        <v>15</v>
      </c>
      <c r="B376" s="9" t="s">
        <v>1129</v>
      </c>
      <c r="C376" s="3" t="s">
        <v>1130</v>
      </c>
      <c r="D376" s="13" t="s">
        <v>1131</v>
      </c>
      <c r="F376" s="5"/>
      <c r="G376" s="6"/>
      <c r="H376" s="8"/>
      <c r="I376" s="1">
        <f t="shared" si="38"/>
        <v>0</v>
      </c>
      <c r="J376">
        <f t="shared" si="39"/>
        <v>0</v>
      </c>
      <c r="K376">
        <f t="shared" si="40"/>
        <v>0</v>
      </c>
      <c r="L376">
        <f t="shared" si="41"/>
        <v>0</v>
      </c>
    </row>
    <row r="377" spans="1:12" x14ac:dyDescent="0.25">
      <c r="A377" s="1" t="s">
        <v>15</v>
      </c>
      <c r="B377" s="9" t="s">
        <v>1132</v>
      </c>
      <c r="C377" s="3" t="s">
        <v>1133</v>
      </c>
      <c r="D377" s="13" t="s">
        <v>1134</v>
      </c>
      <c r="F377" s="5"/>
      <c r="G377" s="6"/>
      <c r="H377" s="8"/>
      <c r="I377" s="1">
        <f t="shared" si="38"/>
        <v>0</v>
      </c>
      <c r="J377">
        <f t="shared" si="39"/>
        <v>0</v>
      </c>
      <c r="K377">
        <f t="shared" si="40"/>
        <v>0</v>
      </c>
      <c r="L377">
        <f t="shared" si="41"/>
        <v>0</v>
      </c>
    </row>
    <row r="378" spans="1:12" x14ac:dyDescent="0.25">
      <c r="A378" s="1" t="s">
        <v>15</v>
      </c>
      <c r="B378" s="9" t="s">
        <v>1135</v>
      </c>
      <c r="C378" s="3" t="s">
        <v>1136</v>
      </c>
      <c r="D378" s="13" t="s">
        <v>1137</v>
      </c>
      <c r="F378" s="5"/>
      <c r="G378" s="6"/>
      <c r="H378" s="8"/>
      <c r="I378" s="1">
        <f t="shared" si="38"/>
        <v>0</v>
      </c>
      <c r="J378">
        <f t="shared" si="39"/>
        <v>0</v>
      </c>
      <c r="K378">
        <f t="shared" si="40"/>
        <v>0</v>
      </c>
      <c r="L378">
        <f t="shared" si="41"/>
        <v>0</v>
      </c>
    </row>
    <row r="379" spans="1:12" x14ac:dyDescent="0.25">
      <c r="A379" s="1" t="s">
        <v>15</v>
      </c>
      <c r="B379" s="9" t="s">
        <v>1138</v>
      </c>
      <c r="C379" s="3" t="s">
        <v>1139</v>
      </c>
      <c r="D379" s="13" t="s">
        <v>1140</v>
      </c>
      <c r="F379" s="5"/>
      <c r="G379" s="6"/>
      <c r="H379" s="8"/>
      <c r="I379" s="1">
        <f t="shared" si="38"/>
        <v>0</v>
      </c>
      <c r="J379">
        <f t="shared" si="39"/>
        <v>0</v>
      </c>
      <c r="K379">
        <f t="shared" si="40"/>
        <v>0</v>
      </c>
      <c r="L379">
        <f t="shared" si="41"/>
        <v>0</v>
      </c>
    </row>
    <row r="380" spans="1:12" x14ac:dyDescent="0.25">
      <c r="A380" s="1" t="s">
        <v>15</v>
      </c>
      <c r="B380" s="9" t="s">
        <v>1141</v>
      </c>
      <c r="C380" s="3" t="s">
        <v>1142</v>
      </c>
      <c r="D380" s="13" t="s">
        <v>1143</v>
      </c>
      <c r="F380" s="5"/>
      <c r="G380" s="6"/>
      <c r="H380" s="8"/>
      <c r="I380" s="1">
        <f t="shared" si="38"/>
        <v>0</v>
      </c>
      <c r="J380">
        <f t="shared" si="39"/>
        <v>0</v>
      </c>
      <c r="K380">
        <f t="shared" si="40"/>
        <v>0</v>
      </c>
      <c r="L380">
        <f t="shared" si="41"/>
        <v>0</v>
      </c>
    </row>
    <row r="381" spans="1:12" x14ac:dyDescent="0.25">
      <c r="A381" s="1" t="s">
        <v>15</v>
      </c>
      <c r="B381" s="9" t="s">
        <v>1144</v>
      </c>
      <c r="C381" s="3" t="s">
        <v>1145</v>
      </c>
      <c r="D381" s="13" t="s">
        <v>1146</v>
      </c>
      <c r="F381" s="5"/>
      <c r="G381" s="6"/>
      <c r="H381" s="8"/>
      <c r="I381" s="1">
        <f t="shared" si="38"/>
        <v>0</v>
      </c>
      <c r="J381">
        <f t="shared" si="39"/>
        <v>0</v>
      </c>
      <c r="K381">
        <f t="shared" si="40"/>
        <v>0</v>
      </c>
      <c r="L381">
        <f t="shared" si="41"/>
        <v>0</v>
      </c>
    </row>
    <row r="382" spans="1:12" x14ac:dyDescent="0.25">
      <c r="A382" s="1" t="s">
        <v>15</v>
      </c>
      <c r="B382" s="9" t="s">
        <v>1147</v>
      </c>
      <c r="C382" s="3" t="s">
        <v>1148</v>
      </c>
      <c r="D382" s="13" t="s">
        <v>1149</v>
      </c>
      <c r="F382" s="5">
        <f t="shared" si="42"/>
        <v>75.400000000000006</v>
      </c>
      <c r="G382" s="6">
        <v>13</v>
      </c>
      <c r="H382" s="8">
        <v>62.400000000000006</v>
      </c>
      <c r="I382" s="1">
        <f t="shared" si="38"/>
        <v>3.9</v>
      </c>
      <c r="J382">
        <f t="shared" si="39"/>
        <v>18.720000000000002</v>
      </c>
      <c r="K382">
        <f t="shared" si="40"/>
        <v>9.1</v>
      </c>
      <c r="L382">
        <f t="shared" si="41"/>
        <v>43.68</v>
      </c>
    </row>
    <row r="383" spans="1:12" x14ac:dyDescent="0.25">
      <c r="A383" s="1" t="s">
        <v>15</v>
      </c>
      <c r="B383" s="9" t="s">
        <v>1150</v>
      </c>
      <c r="C383" s="3" t="s">
        <v>1151</v>
      </c>
      <c r="D383" s="4" t="s">
        <v>1152</v>
      </c>
      <c r="F383" s="5">
        <f t="shared" si="42"/>
        <v>85.8</v>
      </c>
      <c r="G383" s="6">
        <v>13</v>
      </c>
      <c r="H383" s="8">
        <v>72.8</v>
      </c>
      <c r="I383" s="1">
        <f t="shared" si="38"/>
        <v>3.9</v>
      </c>
      <c r="J383">
        <f t="shared" si="39"/>
        <v>21.84</v>
      </c>
      <c r="K383">
        <f t="shared" si="40"/>
        <v>9.1</v>
      </c>
      <c r="L383">
        <f t="shared" si="41"/>
        <v>50.959999999999994</v>
      </c>
    </row>
    <row r="384" spans="1:12" x14ac:dyDescent="0.25">
      <c r="A384" s="1" t="s">
        <v>15</v>
      </c>
      <c r="B384" s="9" t="s">
        <v>1153</v>
      </c>
      <c r="C384" s="3" t="s">
        <v>1154</v>
      </c>
      <c r="D384" s="4" t="s">
        <v>1155</v>
      </c>
      <c r="F384" s="5">
        <f t="shared" si="42"/>
        <v>114.4</v>
      </c>
      <c r="G384" s="6">
        <v>13</v>
      </c>
      <c r="H384" s="8">
        <v>101.4</v>
      </c>
      <c r="I384" s="1">
        <f t="shared" si="38"/>
        <v>3.9</v>
      </c>
      <c r="J384">
        <f t="shared" si="39"/>
        <v>30.42</v>
      </c>
      <c r="K384">
        <f t="shared" si="40"/>
        <v>9.1</v>
      </c>
      <c r="L384">
        <f t="shared" si="41"/>
        <v>70.98</v>
      </c>
    </row>
    <row r="385" spans="1:12" x14ac:dyDescent="0.25">
      <c r="A385" s="1" t="s">
        <v>15</v>
      </c>
      <c r="B385" s="9" t="s">
        <v>1156</v>
      </c>
      <c r="C385" s="3" t="s">
        <v>1157</v>
      </c>
      <c r="D385" s="4" t="s">
        <v>1158</v>
      </c>
      <c r="F385" s="5">
        <f t="shared" si="42"/>
        <v>20.8</v>
      </c>
      <c r="G385" s="6">
        <v>13</v>
      </c>
      <c r="H385" s="8">
        <v>7.8000000000000007</v>
      </c>
      <c r="I385" s="1">
        <f t="shared" si="38"/>
        <v>3.9</v>
      </c>
      <c r="J385">
        <f t="shared" si="39"/>
        <v>2.3400000000000003</v>
      </c>
      <c r="K385">
        <f t="shared" si="40"/>
        <v>9.1</v>
      </c>
      <c r="L385">
        <f t="shared" si="41"/>
        <v>5.46</v>
      </c>
    </row>
    <row r="386" spans="1:12" x14ac:dyDescent="0.25">
      <c r="A386" s="1" t="s">
        <v>15</v>
      </c>
      <c r="B386" s="9" t="s">
        <v>1159</v>
      </c>
      <c r="C386" s="3" t="s">
        <v>1160</v>
      </c>
      <c r="D386" s="4" t="s">
        <v>1161</v>
      </c>
      <c r="F386" s="5">
        <f t="shared" si="42"/>
        <v>20.8</v>
      </c>
      <c r="G386" s="6">
        <v>13</v>
      </c>
      <c r="H386" s="8">
        <v>7.8000000000000007</v>
      </c>
      <c r="I386" s="1">
        <f t="shared" si="38"/>
        <v>3.9</v>
      </c>
      <c r="J386">
        <f t="shared" si="39"/>
        <v>2.3400000000000003</v>
      </c>
      <c r="K386">
        <f t="shared" si="40"/>
        <v>9.1</v>
      </c>
      <c r="L386">
        <f t="shared" si="41"/>
        <v>5.46</v>
      </c>
    </row>
    <row r="387" spans="1:12" x14ac:dyDescent="0.25">
      <c r="A387" s="1" t="s">
        <v>15</v>
      </c>
      <c r="B387" s="9" t="s">
        <v>1162</v>
      </c>
      <c r="C387" s="3" t="s">
        <v>1163</v>
      </c>
      <c r="D387" s="4" t="s">
        <v>1164</v>
      </c>
      <c r="F387" s="5">
        <f t="shared" si="42"/>
        <v>16.899999999999999</v>
      </c>
      <c r="G387" s="6">
        <v>13</v>
      </c>
      <c r="H387" s="8">
        <v>3.9000000000000004</v>
      </c>
      <c r="I387" s="1">
        <f t="shared" si="38"/>
        <v>3.9</v>
      </c>
      <c r="J387">
        <f t="shared" si="39"/>
        <v>1.1700000000000002</v>
      </c>
      <c r="K387">
        <f t="shared" si="40"/>
        <v>9.1</v>
      </c>
      <c r="L387">
        <f t="shared" si="41"/>
        <v>2.73</v>
      </c>
    </row>
    <row r="388" spans="1:12" x14ac:dyDescent="0.25">
      <c r="A388" s="1" t="s">
        <v>15</v>
      </c>
      <c r="B388" s="9" t="s">
        <v>1165</v>
      </c>
      <c r="C388" s="3" t="s">
        <v>1166</v>
      </c>
      <c r="D388" s="4" t="s">
        <v>1167</v>
      </c>
      <c r="F388" s="5">
        <f t="shared" si="42"/>
        <v>32.5</v>
      </c>
      <c r="G388" s="6">
        <v>13</v>
      </c>
      <c r="H388" s="8">
        <v>19.5</v>
      </c>
      <c r="I388" s="1">
        <f t="shared" ref="I388:I451" si="43">G388*0.3</f>
        <v>3.9</v>
      </c>
      <c r="J388">
        <f t="shared" ref="J388:J451" si="44">H388*0.3</f>
        <v>5.85</v>
      </c>
      <c r="K388">
        <f t="shared" ref="K388:K451" si="45">G388*0.7</f>
        <v>9.1</v>
      </c>
      <c r="L388">
        <f t="shared" ref="L388:L451" si="46">H388*0.7</f>
        <v>13.649999999999999</v>
      </c>
    </row>
    <row r="389" spans="1:12" x14ac:dyDescent="0.25">
      <c r="A389" s="1" t="s">
        <v>15</v>
      </c>
      <c r="B389" s="9" t="s">
        <v>1168</v>
      </c>
      <c r="C389" s="3" t="s">
        <v>1169</v>
      </c>
      <c r="D389" s="4" t="s">
        <v>1170</v>
      </c>
      <c r="F389" s="5">
        <f t="shared" si="42"/>
        <v>26</v>
      </c>
      <c r="G389" s="6">
        <v>6.5</v>
      </c>
      <c r="H389" s="8">
        <v>19.5</v>
      </c>
      <c r="I389" s="1">
        <f t="shared" si="43"/>
        <v>1.95</v>
      </c>
      <c r="J389">
        <f t="shared" si="44"/>
        <v>5.85</v>
      </c>
      <c r="K389">
        <f t="shared" si="45"/>
        <v>4.55</v>
      </c>
      <c r="L389">
        <f t="shared" si="46"/>
        <v>13.649999999999999</v>
      </c>
    </row>
    <row r="390" spans="1:12" x14ac:dyDescent="0.25">
      <c r="A390" s="1" t="s">
        <v>15</v>
      </c>
      <c r="B390" s="9" t="s">
        <v>1171</v>
      </c>
      <c r="C390" s="3" t="s">
        <v>1172</v>
      </c>
      <c r="D390" s="4" t="s">
        <v>1173</v>
      </c>
      <c r="F390" s="5">
        <f t="shared" si="42"/>
        <v>26</v>
      </c>
      <c r="G390" s="6">
        <v>6.5</v>
      </c>
      <c r="H390" s="8">
        <v>19.5</v>
      </c>
      <c r="I390" s="1">
        <f t="shared" si="43"/>
        <v>1.95</v>
      </c>
      <c r="J390">
        <f t="shared" si="44"/>
        <v>5.85</v>
      </c>
      <c r="K390">
        <f t="shared" si="45"/>
        <v>4.55</v>
      </c>
      <c r="L390">
        <f t="shared" si="46"/>
        <v>13.649999999999999</v>
      </c>
    </row>
    <row r="391" spans="1:12" x14ac:dyDescent="0.25">
      <c r="A391" s="1" t="s">
        <v>15</v>
      </c>
      <c r="B391" s="9" t="s">
        <v>1174</v>
      </c>
      <c r="C391" s="3" t="s">
        <v>1175</v>
      </c>
      <c r="D391" s="4" t="s">
        <v>1176</v>
      </c>
      <c r="F391" s="5">
        <f t="shared" si="42"/>
        <v>26</v>
      </c>
      <c r="G391" s="6">
        <v>6.5</v>
      </c>
      <c r="H391" s="8">
        <v>19.5</v>
      </c>
      <c r="I391" s="1">
        <f t="shared" si="43"/>
        <v>1.95</v>
      </c>
      <c r="J391">
        <f t="shared" si="44"/>
        <v>5.85</v>
      </c>
      <c r="K391">
        <f t="shared" si="45"/>
        <v>4.55</v>
      </c>
      <c r="L391">
        <f t="shared" si="46"/>
        <v>13.649999999999999</v>
      </c>
    </row>
    <row r="392" spans="1:12" x14ac:dyDescent="0.25">
      <c r="A392" s="1" t="s">
        <v>15</v>
      </c>
      <c r="B392" s="9" t="s">
        <v>1177</v>
      </c>
      <c r="C392" s="3" t="s">
        <v>1178</v>
      </c>
      <c r="D392" s="4" t="s">
        <v>1179</v>
      </c>
      <c r="F392" s="5">
        <f t="shared" si="42"/>
        <v>26</v>
      </c>
      <c r="G392" s="6">
        <v>6.5</v>
      </c>
      <c r="H392" s="8">
        <v>19.5</v>
      </c>
      <c r="I392" s="1">
        <f t="shared" si="43"/>
        <v>1.95</v>
      </c>
      <c r="J392">
        <f t="shared" si="44"/>
        <v>5.85</v>
      </c>
      <c r="K392">
        <f t="shared" si="45"/>
        <v>4.55</v>
      </c>
      <c r="L392">
        <f t="shared" si="46"/>
        <v>13.649999999999999</v>
      </c>
    </row>
    <row r="393" spans="1:12" x14ac:dyDescent="0.25">
      <c r="A393" s="1" t="s">
        <v>15</v>
      </c>
      <c r="B393" s="9" t="s">
        <v>1180</v>
      </c>
      <c r="C393" s="3" t="s">
        <v>1181</v>
      </c>
      <c r="D393" s="4" t="s">
        <v>1182</v>
      </c>
      <c r="F393" s="5">
        <f t="shared" si="42"/>
        <v>26</v>
      </c>
      <c r="G393" s="6">
        <v>6.5</v>
      </c>
      <c r="H393" s="8">
        <v>19.5</v>
      </c>
      <c r="I393" s="1">
        <f t="shared" si="43"/>
        <v>1.95</v>
      </c>
      <c r="J393">
        <f t="shared" si="44"/>
        <v>5.85</v>
      </c>
      <c r="K393">
        <f t="shared" si="45"/>
        <v>4.55</v>
      </c>
      <c r="L393">
        <f t="shared" si="46"/>
        <v>13.649999999999999</v>
      </c>
    </row>
    <row r="394" spans="1:12" x14ac:dyDescent="0.25">
      <c r="A394" s="1" t="s">
        <v>15</v>
      </c>
      <c r="B394" s="9" t="s">
        <v>1183</v>
      </c>
      <c r="C394" s="3" t="s">
        <v>1184</v>
      </c>
      <c r="D394" s="4" t="s">
        <v>1185</v>
      </c>
      <c r="F394" s="5"/>
      <c r="G394" s="6"/>
      <c r="H394" s="8"/>
      <c r="I394" s="1">
        <f t="shared" si="43"/>
        <v>0</v>
      </c>
      <c r="J394">
        <f t="shared" si="44"/>
        <v>0</v>
      </c>
      <c r="K394">
        <f t="shared" si="45"/>
        <v>0</v>
      </c>
      <c r="L394">
        <f t="shared" si="46"/>
        <v>0</v>
      </c>
    </row>
    <row r="395" spans="1:12" x14ac:dyDescent="0.25">
      <c r="A395" s="1" t="s">
        <v>15</v>
      </c>
      <c r="B395" s="9" t="s">
        <v>1186</v>
      </c>
      <c r="C395" s="3" t="s">
        <v>1187</v>
      </c>
      <c r="D395" s="4" t="s">
        <v>1188</v>
      </c>
      <c r="F395" s="5"/>
      <c r="G395" s="6"/>
      <c r="H395" s="8"/>
      <c r="I395" s="1">
        <f t="shared" si="43"/>
        <v>0</v>
      </c>
      <c r="J395">
        <f t="shared" si="44"/>
        <v>0</v>
      </c>
      <c r="K395">
        <f t="shared" si="45"/>
        <v>0</v>
      </c>
      <c r="L395">
        <f t="shared" si="46"/>
        <v>0</v>
      </c>
    </row>
    <row r="396" spans="1:12" ht="30" x14ac:dyDescent="0.25">
      <c r="A396" s="1" t="s">
        <v>15</v>
      </c>
      <c r="B396" s="9" t="s">
        <v>1189</v>
      </c>
      <c r="C396" s="3" t="s">
        <v>1190</v>
      </c>
      <c r="D396" s="4" t="s">
        <v>1191</v>
      </c>
      <c r="F396" s="5"/>
      <c r="G396" s="6"/>
      <c r="H396" s="8"/>
      <c r="I396" s="1">
        <f t="shared" si="43"/>
        <v>0</v>
      </c>
      <c r="J396">
        <f t="shared" si="44"/>
        <v>0</v>
      </c>
      <c r="K396">
        <f t="shared" si="45"/>
        <v>0</v>
      </c>
      <c r="L396">
        <f t="shared" si="46"/>
        <v>0</v>
      </c>
    </row>
    <row r="397" spans="1:12" x14ac:dyDescent="0.25">
      <c r="A397" s="1" t="s">
        <v>15</v>
      </c>
      <c r="B397" s="9" t="s">
        <v>1192</v>
      </c>
      <c r="C397" s="3" t="s">
        <v>1193</v>
      </c>
      <c r="D397" s="4" t="s">
        <v>1194</v>
      </c>
      <c r="F397" s="5"/>
      <c r="G397" s="6"/>
      <c r="H397" s="8"/>
      <c r="I397" s="1">
        <f t="shared" si="43"/>
        <v>0</v>
      </c>
      <c r="J397">
        <f t="shared" si="44"/>
        <v>0</v>
      </c>
      <c r="K397">
        <f t="shared" si="45"/>
        <v>0</v>
      </c>
      <c r="L397">
        <f t="shared" si="46"/>
        <v>0</v>
      </c>
    </row>
    <row r="398" spans="1:12" x14ac:dyDescent="0.25">
      <c r="A398" s="1" t="s">
        <v>15</v>
      </c>
      <c r="B398" s="9" t="s">
        <v>1195</v>
      </c>
      <c r="C398" s="3" t="s">
        <v>1196</v>
      </c>
      <c r="D398" s="4" t="s">
        <v>1197</v>
      </c>
      <c r="F398" s="5"/>
      <c r="G398" s="6"/>
      <c r="H398" s="8"/>
      <c r="I398" s="1">
        <f t="shared" si="43"/>
        <v>0</v>
      </c>
      <c r="J398">
        <f t="shared" si="44"/>
        <v>0</v>
      </c>
      <c r="K398">
        <f t="shared" si="45"/>
        <v>0</v>
      </c>
      <c r="L398">
        <f t="shared" si="46"/>
        <v>0</v>
      </c>
    </row>
    <row r="399" spans="1:12" x14ac:dyDescent="0.25">
      <c r="A399" s="1" t="s">
        <v>15</v>
      </c>
      <c r="B399" s="18" t="s">
        <v>1198</v>
      </c>
      <c r="C399" s="27" t="s">
        <v>1199</v>
      </c>
      <c r="D399" s="29" t="s">
        <v>1200</v>
      </c>
      <c r="F399" s="21"/>
      <c r="G399" s="22"/>
      <c r="H399" s="23"/>
      <c r="I399" s="1">
        <f t="shared" si="43"/>
        <v>0</v>
      </c>
      <c r="J399">
        <f t="shared" si="44"/>
        <v>0</v>
      </c>
      <c r="K399">
        <f t="shared" si="45"/>
        <v>0</v>
      </c>
      <c r="L399">
        <f t="shared" si="46"/>
        <v>0</v>
      </c>
    </row>
    <row r="400" spans="1:12" x14ac:dyDescent="0.25">
      <c r="A400" s="1" t="s">
        <v>15</v>
      </c>
      <c r="B400" s="9" t="s">
        <v>1201</v>
      </c>
      <c r="C400" s="3" t="s">
        <v>1202</v>
      </c>
      <c r="D400" s="4" t="s">
        <v>1203</v>
      </c>
      <c r="F400" s="5">
        <f t="shared" si="42"/>
        <v>26</v>
      </c>
      <c r="G400" s="6">
        <v>6.5</v>
      </c>
      <c r="H400" s="8">
        <v>19.5</v>
      </c>
      <c r="I400" s="1">
        <f t="shared" si="43"/>
        <v>1.95</v>
      </c>
      <c r="J400">
        <f t="shared" si="44"/>
        <v>5.85</v>
      </c>
      <c r="K400">
        <f t="shared" si="45"/>
        <v>4.55</v>
      </c>
      <c r="L400">
        <f t="shared" si="46"/>
        <v>13.649999999999999</v>
      </c>
    </row>
    <row r="401" spans="1:12" x14ac:dyDescent="0.25">
      <c r="A401" s="1" t="s">
        <v>15</v>
      </c>
      <c r="B401" s="9" t="s">
        <v>1204</v>
      </c>
      <c r="C401" s="3" t="s">
        <v>1205</v>
      </c>
      <c r="D401" s="12" t="s">
        <v>1206</v>
      </c>
      <c r="F401" s="5">
        <f t="shared" si="42"/>
        <v>75.400000000000006</v>
      </c>
      <c r="G401" s="6">
        <v>13</v>
      </c>
      <c r="H401" s="8">
        <v>62.400000000000006</v>
      </c>
      <c r="I401" s="1">
        <f t="shared" si="43"/>
        <v>3.9</v>
      </c>
      <c r="J401">
        <f t="shared" si="44"/>
        <v>18.720000000000002</v>
      </c>
      <c r="K401">
        <f t="shared" si="45"/>
        <v>9.1</v>
      </c>
      <c r="L401">
        <f t="shared" si="46"/>
        <v>43.68</v>
      </c>
    </row>
    <row r="402" spans="1:12" x14ac:dyDescent="0.25">
      <c r="A402" s="1" t="s">
        <v>15</v>
      </c>
      <c r="B402" s="9" t="s">
        <v>1207</v>
      </c>
      <c r="C402" s="3" t="s">
        <v>1208</v>
      </c>
      <c r="D402" s="12" t="s">
        <v>1209</v>
      </c>
      <c r="F402" s="5">
        <f t="shared" si="42"/>
        <v>114.4</v>
      </c>
      <c r="G402" s="6">
        <v>13</v>
      </c>
      <c r="H402" s="8">
        <v>101.4</v>
      </c>
      <c r="I402" s="1">
        <f t="shared" si="43"/>
        <v>3.9</v>
      </c>
      <c r="J402">
        <f t="shared" si="44"/>
        <v>30.42</v>
      </c>
      <c r="K402">
        <f t="shared" si="45"/>
        <v>9.1</v>
      </c>
      <c r="L402">
        <f t="shared" si="46"/>
        <v>70.98</v>
      </c>
    </row>
    <row r="403" spans="1:12" x14ac:dyDescent="0.25">
      <c r="A403" s="1" t="s">
        <v>15</v>
      </c>
      <c r="B403" s="9" t="s">
        <v>1210</v>
      </c>
      <c r="C403" s="3" t="s">
        <v>1211</v>
      </c>
      <c r="D403" s="12" t="s">
        <v>1212</v>
      </c>
      <c r="F403" s="5">
        <f t="shared" si="42"/>
        <v>127.4</v>
      </c>
      <c r="G403" s="6">
        <v>13</v>
      </c>
      <c r="H403" s="8">
        <v>114.4</v>
      </c>
      <c r="I403" s="1">
        <f t="shared" si="43"/>
        <v>3.9</v>
      </c>
      <c r="J403">
        <f t="shared" si="44"/>
        <v>34.32</v>
      </c>
      <c r="K403">
        <f t="shared" si="45"/>
        <v>9.1</v>
      </c>
      <c r="L403">
        <f t="shared" si="46"/>
        <v>80.08</v>
      </c>
    </row>
    <row r="404" spans="1:12" ht="30" x14ac:dyDescent="0.25">
      <c r="A404" s="1" t="s">
        <v>15</v>
      </c>
      <c r="B404" s="9" t="s">
        <v>1213</v>
      </c>
      <c r="C404" s="16" t="s">
        <v>1214</v>
      </c>
      <c r="D404" s="12" t="s">
        <v>1215</v>
      </c>
      <c r="F404" s="5">
        <f t="shared" si="42"/>
        <v>96.2</v>
      </c>
      <c r="G404" s="6">
        <v>13</v>
      </c>
      <c r="H404" s="8">
        <v>83.2</v>
      </c>
      <c r="I404" s="1">
        <f t="shared" si="43"/>
        <v>3.9</v>
      </c>
      <c r="J404">
        <f t="shared" si="44"/>
        <v>24.96</v>
      </c>
      <c r="K404">
        <f t="shared" si="45"/>
        <v>9.1</v>
      </c>
      <c r="L404">
        <f t="shared" si="46"/>
        <v>58.239999999999995</v>
      </c>
    </row>
    <row r="405" spans="1:12" x14ac:dyDescent="0.25">
      <c r="A405" s="1" t="s">
        <v>15</v>
      </c>
      <c r="B405" s="18" t="s">
        <v>1216</v>
      </c>
      <c r="C405" s="27" t="s">
        <v>1217</v>
      </c>
      <c r="D405" s="30" t="s">
        <v>1218</v>
      </c>
      <c r="F405" s="21">
        <f t="shared" si="42"/>
        <v>127.4</v>
      </c>
      <c r="G405" s="22">
        <v>13</v>
      </c>
      <c r="H405" s="23">
        <v>114.4</v>
      </c>
      <c r="I405" s="1">
        <f t="shared" si="43"/>
        <v>3.9</v>
      </c>
      <c r="J405">
        <f t="shared" si="44"/>
        <v>34.32</v>
      </c>
      <c r="K405">
        <f t="shared" si="45"/>
        <v>9.1</v>
      </c>
      <c r="L405">
        <f t="shared" si="46"/>
        <v>80.08</v>
      </c>
    </row>
    <row r="406" spans="1:12" x14ac:dyDescent="0.25">
      <c r="A406" s="1" t="s">
        <v>15</v>
      </c>
      <c r="B406" s="18" t="s">
        <v>1219</v>
      </c>
      <c r="C406" s="27" t="s">
        <v>1220</v>
      </c>
      <c r="D406" s="29" t="s">
        <v>1221</v>
      </c>
      <c r="F406" s="21"/>
      <c r="G406" s="22"/>
      <c r="H406" s="23"/>
      <c r="I406" s="1">
        <f t="shared" si="43"/>
        <v>0</v>
      </c>
      <c r="J406">
        <f t="shared" si="44"/>
        <v>0</v>
      </c>
      <c r="K406">
        <f t="shared" si="45"/>
        <v>0</v>
      </c>
      <c r="L406">
        <f t="shared" si="46"/>
        <v>0</v>
      </c>
    </row>
    <row r="407" spans="1:12" x14ac:dyDescent="0.25">
      <c r="A407" s="1" t="s">
        <v>15</v>
      </c>
      <c r="B407" s="9" t="s">
        <v>1222</v>
      </c>
      <c r="C407" s="3" t="s">
        <v>1223</v>
      </c>
      <c r="D407" s="12" t="s">
        <v>1224</v>
      </c>
      <c r="F407" s="5">
        <f t="shared" si="42"/>
        <v>114.4</v>
      </c>
      <c r="G407" s="6">
        <v>13</v>
      </c>
      <c r="H407" s="8">
        <v>101.4</v>
      </c>
      <c r="I407" s="1">
        <f t="shared" si="43"/>
        <v>3.9</v>
      </c>
      <c r="J407">
        <f t="shared" si="44"/>
        <v>30.42</v>
      </c>
      <c r="K407">
        <f t="shared" si="45"/>
        <v>9.1</v>
      </c>
      <c r="L407">
        <f t="shared" si="46"/>
        <v>70.98</v>
      </c>
    </row>
    <row r="408" spans="1:12" x14ac:dyDescent="0.25">
      <c r="A408" s="1" t="s">
        <v>15</v>
      </c>
      <c r="B408" s="9" t="s">
        <v>1225</v>
      </c>
      <c r="C408" s="3" t="s">
        <v>1226</v>
      </c>
      <c r="D408" s="12" t="s">
        <v>1227</v>
      </c>
      <c r="F408" s="5">
        <f t="shared" si="42"/>
        <v>88.4</v>
      </c>
      <c r="G408" s="6">
        <v>13</v>
      </c>
      <c r="H408" s="8">
        <v>75.400000000000006</v>
      </c>
      <c r="I408" s="1">
        <f t="shared" si="43"/>
        <v>3.9</v>
      </c>
      <c r="J408">
        <f t="shared" si="44"/>
        <v>22.62</v>
      </c>
      <c r="K408">
        <f t="shared" si="45"/>
        <v>9.1</v>
      </c>
      <c r="L408">
        <f t="shared" si="46"/>
        <v>52.78</v>
      </c>
    </row>
    <row r="409" spans="1:12" x14ac:dyDescent="0.25">
      <c r="A409" s="1" t="s">
        <v>15</v>
      </c>
      <c r="B409" s="9" t="s">
        <v>1228</v>
      </c>
      <c r="C409" s="3" t="s">
        <v>1229</v>
      </c>
      <c r="D409" s="12" t="s">
        <v>1230</v>
      </c>
      <c r="F409" s="5">
        <f t="shared" si="42"/>
        <v>20.8</v>
      </c>
      <c r="G409" s="6">
        <v>7.8000000000000007</v>
      </c>
      <c r="H409" s="8">
        <v>13</v>
      </c>
      <c r="I409" s="1">
        <f t="shared" si="43"/>
        <v>2.3400000000000003</v>
      </c>
      <c r="J409">
        <f t="shared" si="44"/>
        <v>3.9</v>
      </c>
      <c r="K409">
        <f t="shared" si="45"/>
        <v>5.46</v>
      </c>
      <c r="L409">
        <f t="shared" si="46"/>
        <v>9.1</v>
      </c>
    </row>
    <row r="410" spans="1:12" ht="30" x14ac:dyDescent="0.25">
      <c r="A410" s="1" t="s">
        <v>15</v>
      </c>
      <c r="B410" s="9" t="s">
        <v>1231</v>
      </c>
      <c r="C410" s="3" t="s">
        <v>1232</v>
      </c>
      <c r="D410" s="31" t="s">
        <v>1233</v>
      </c>
      <c r="F410" s="5">
        <f>G410+H410</f>
        <v>20.8</v>
      </c>
      <c r="G410" s="6">
        <v>7.8000000000000007</v>
      </c>
      <c r="H410" s="8">
        <v>13</v>
      </c>
      <c r="I410" s="1">
        <f t="shared" si="43"/>
        <v>2.3400000000000003</v>
      </c>
      <c r="J410">
        <f t="shared" si="44"/>
        <v>3.9</v>
      </c>
      <c r="K410">
        <f t="shared" si="45"/>
        <v>5.46</v>
      </c>
      <c r="L410">
        <f t="shared" si="46"/>
        <v>9.1</v>
      </c>
    </row>
    <row r="411" spans="1:12" x14ac:dyDescent="0.25">
      <c r="A411" s="1" t="s">
        <v>15</v>
      </c>
      <c r="B411" s="9" t="s">
        <v>1234</v>
      </c>
      <c r="C411" s="3" t="s">
        <v>1235</v>
      </c>
      <c r="D411" s="31" t="s">
        <v>1236</v>
      </c>
      <c r="F411" s="5">
        <f>G411+H411</f>
        <v>19.5</v>
      </c>
      <c r="G411" s="6">
        <v>6.5</v>
      </c>
      <c r="H411" s="8">
        <v>13</v>
      </c>
      <c r="I411" s="1">
        <f t="shared" si="43"/>
        <v>1.95</v>
      </c>
      <c r="J411">
        <f t="shared" si="44"/>
        <v>3.9</v>
      </c>
      <c r="K411">
        <f t="shared" si="45"/>
        <v>4.55</v>
      </c>
      <c r="L411">
        <f t="shared" si="46"/>
        <v>9.1</v>
      </c>
    </row>
    <row r="412" spans="1:12" x14ac:dyDescent="0.25">
      <c r="A412" s="1" t="s">
        <v>15</v>
      </c>
      <c r="B412" s="9" t="s">
        <v>1237</v>
      </c>
      <c r="C412" s="3" t="s">
        <v>1238</v>
      </c>
      <c r="D412" s="12" t="s">
        <v>1239</v>
      </c>
      <c r="F412" s="5">
        <f t="shared" si="42"/>
        <v>88.4</v>
      </c>
      <c r="G412" s="6">
        <v>13</v>
      </c>
      <c r="H412" s="8">
        <v>75.400000000000006</v>
      </c>
      <c r="I412" s="1">
        <f t="shared" si="43"/>
        <v>3.9</v>
      </c>
      <c r="J412">
        <f t="shared" si="44"/>
        <v>22.62</v>
      </c>
      <c r="K412">
        <f t="shared" si="45"/>
        <v>9.1</v>
      </c>
      <c r="L412">
        <f t="shared" si="46"/>
        <v>52.78</v>
      </c>
    </row>
    <row r="413" spans="1:12" x14ac:dyDescent="0.25">
      <c r="A413" s="1" t="s">
        <v>15</v>
      </c>
      <c r="B413" s="9" t="s">
        <v>1240</v>
      </c>
      <c r="C413" s="3" t="s">
        <v>1241</v>
      </c>
      <c r="D413" s="12" t="s">
        <v>1242</v>
      </c>
      <c r="F413" s="5">
        <f>G413+H413</f>
        <v>127.4</v>
      </c>
      <c r="G413" s="6">
        <v>13</v>
      </c>
      <c r="H413" s="8">
        <v>114.4</v>
      </c>
      <c r="I413" s="1">
        <f t="shared" si="43"/>
        <v>3.9</v>
      </c>
      <c r="J413">
        <f t="shared" si="44"/>
        <v>34.32</v>
      </c>
      <c r="K413">
        <f t="shared" si="45"/>
        <v>9.1</v>
      </c>
      <c r="L413">
        <f t="shared" si="46"/>
        <v>80.08</v>
      </c>
    </row>
    <row r="414" spans="1:12" x14ac:dyDescent="0.25">
      <c r="A414" s="1" t="s">
        <v>15</v>
      </c>
      <c r="B414" s="9" t="s">
        <v>1243</v>
      </c>
      <c r="C414" s="3" t="s">
        <v>1244</v>
      </c>
      <c r="D414" s="12" t="s">
        <v>1245</v>
      </c>
      <c r="F414" s="5">
        <f>G414+H414</f>
        <v>36.400000000000006</v>
      </c>
      <c r="G414" s="6">
        <v>13</v>
      </c>
      <c r="H414" s="8">
        <v>23.400000000000002</v>
      </c>
      <c r="I414" s="1">
        <f t="shared" si="43"/>
        <v>3.9</v>
      </c>
      <c r="J414">
        <f t="shared" si="44"/>
        <v>7.0200000000000005</v>
      </c>
      <c r="K414">
        <f t="shared" si="45"/>
        <v>9.1</v>
      </c>
      <c r="L414">
        <f t="shared" si="46"/>
        <v>16.38</v>
      </c>
    </row>
    <row r="415" spans="1:12" x14ac:dyDescent="0.25">
      <c r="A415" s="1" t="s">
        <v>15</v>
      </c>
      <c r="B415" s="9" t="s">
        <v>1246</v>
      </c>
      <c r="C415" s="3" t="s">
        <v>1247</v>
      </c>
      <c r="D415" s="12" t="s">
        <v>1248</v>
      </c>
      <c r="F415" s="5"/>
      <c r="G415" s="6"/>
      <c r="H415" s="8"/>
      <c r="I415" s="1">
        <f t="shared" si="43"/>
        <v>0</v>
      </c>
      <c r="J415">
        <f t="shared" si="44"/>
        <v>0</v>
      </c>
      <c r="K415">
        <f t="shared" si="45"/>
        <v>0</v>
      </c>
      <c r="L415">
        <f t="shared" si="46"/>
        <v>0</v>
      </c>
    </row>
    <row r="416" spans="1:12" x14ac:dyDescent="0.25">
      <c r="A416" s="1" t="s">
        <v>15</v>
      </c>
      <c r="B416" s="9" t="s">
        <v>1249</v>
      </c>
      <c r="C416" s="3" t="s">
        <v>1250</v>
      </c>
      <c r="D416" s="12" t="s">
        <v>1251</v>
      </c>
      <c r="F416" s="5">
        <f>G416+H416</f>
        <v>36.400000000000006</v>
      </c>
      <c r="G416" s="6">
        <v>13</v>
      </c>
      <c r="H416" s="8">
        <v>23.400000000000002</v>
      </c>
      <c r="I416" s="1">
        <f t="shared" si="43"/>
        <v>3.9</v>
      </c>
      <c r="J416">
        <f t="shared" si="44"/>
        <v>7.0200000000000005</v>
      </c>
      <c r="K416">
        <f t="shared" si="45"/>
        <v>9.1</v>
      </c>
      <c r="L416">
        <f t="shared" si="46"/>
        <v>16.38</v>
      </c>
    </row>
    <row r="417" spans="1:12" x14ac:dyDescent="0.25">
      <c r="A417" s="1" t="s">
        <v>15</v>
      </c>
      <c r="B417" s="9" t="s">
        <v>1252</v>
      </c>
      <c r="C417" s="16" t="s">
        <v>1253</v>
      </c>
      <c r="D417" s="12" t="s">
        <v>1254</v>
      </c>
      <c r="F417" s="5">
        <f>G417+H417</f>
        <v>39</v>
      </c>
      <c r="G417" s="6">
        <v>13</v>
      </c>
      <c r="H417" s="8">
        <v>26</v>
      </c>
      <c r="I417" s="1">
        <f t="shared" si="43"/>
        <v>3.9</v>
      </c>
      <c r="J417">
        <f t="shared" si="44"/>
        <v>7.8</v>
      </c>
      <c r="K417">
        <f t="shared" si="45"/>
        <v>9.1</v>
      </c>
      <c r="L417">
        <f t="shared" si="46"/>
        <v>18.2</v>
      </c>
    </row>
    <row r="418" spans="1:12" x14ac:dyDescent="0.25">
      <c r="A418" s="1" t="s">
        <v>15</v>
      </c>
      <c r="B418" s="9" t="s">
        <v>1255</v>
      </c>
      <c r="C418" s="16" t="s">
        <v>1256</v>
      </c>
      <c r="D418" s="12" t="s">
        <v>1257</v>
      </c>
      <c r="F418" s="5">
        <f>G418+H418</f>
        <v>36.400000000000006</v>
      </c>
      <c r="G418" s="6">
        <v>13</v>
      </c>
      <c r="H418" s="8">
        <v>23.400000000000002</v>
      </c>
      <c r="I418" s="1">
        <f t="shared" si="43"/>
        <v>3.9</v>
      </c>
      <c r="J418">
        <f t="shared" si="44"/>
        <v>7.0200000000000005</v>
      </c>
      <c r="K418">
        <f t="shared" si="45"/>
        <v>9.1</v>
      </c>
      <c r="L418">
        <f t="shared" si="46"/>
        <v>16.38</v>
      </c>
    </row>
    <row r="419" spans="1:12" x14ac:dyDescent="0.25">
      <c r="A419" s="1" t="s">
        <v>15</v>
      </c>
      <c r="B419" s="9" t="s">
        <v>1258</v>
      </c>
      <c r="C419" s="3" t="s">
        <v>1259</v>
      </c>
      <c r="D419" s="4" t="s">
        <v>1260</v>
      </c>
      <c r="F419" s="5">
        <f t="shared" si="42"/>
        <v>20.8</v>
      </c>
      <c r="G419" s="10">
        <v>20.8</v>
      </c>
      <c r="H419" s="7">
        <v>0</v>
      </c>
      <c r="I419" s="1">
        <f t="shared" si="43"/>
        <v>6.24</v>
      </c>
      <c r="J419">
        <f t="shared" si="44"/>
        <v>0</v>
      </c>
      <c r="K419">
        <f t="shared" si="45"/>
        <v>14.559999999999999</v>
      </c>
      <c r="L419">
        <f t="shared" si="46"/>
        <v>0</v>
      </c>
    </row>
    <row r="420" spans="1:12" x14ac:dyDescent="0.25">
      <c r="A420" s="1" t="s">
        <v>15</v>
      </c>
      <c r="B420" s="9" t="s">
        <v>1261</v>
      </c>
      <c r="C420" s="3" t="s">
        <v>1262</v>
      </c>
      <c r="D420" s="4" t="s">
        <v>1263</v>
      </c>
      <c r="F420" s="5">
        <f t="shared" si="42"/>
        <v>20.8</v>
      </c>
      <c r="G420" s="10">
        <v>20.8</v>
      </c>
      <c r="H420" s="7">
        <v>0</v>
      </c>
      <c r="I420" s="1">
        <f t="shared" si="43"/>
        <v>6.24</v>
      </c>
      <c r="J420">
        <f t="shared" si="44"/>
        <v>0</v>
      </c>
      <c r="K420">
        <f t="shared" si="45"/>
        <v>14.559999999999999</v>
      </c>
      <c r="L420">
        <f t="shared" si="46"/>
        <v>0</v>
      </c>
    </row>
    <row r="421" spans="1:12" x14ac:dyDescent="0.25">
      <c r="A421" s="1" t="s">
        <v>15</v>
      </c>
      <c r="B421" s="9" t="s">
        <v>1264</v>
      </c>
      <c r="C421" s="3" t="s">
        <v>1265</v>
      </c>
      <c r="D421" s="13" t="s">
        <v>1266</v>
      </c>
      <c r="F421" s="5">
        <f t="shared" si="42"/>
        <v>20.8</v>
      </c>
      <c r="G421" s="10">
        <v>20.8</v>
      </c>
      <c r="H421" s="14">
        <v>0</v>
      </c>
      <c r="I421" s="1">
        <f t="shared" si="43"/>
        <v>6.24</v>
      </c>
      <c r="J421">
        <f t="shared" si="44"/>
        <v>0</v>
      </c>
      <c r="K421">
        <f t="shared" si="45"/>
        <v>14.559999999999999</v>
      </c>
      <c r="L421">
        <f t="shared" si="46"/>
        <v>0</v>
      </c>
    </row>
    <row r="422" spans="1:12" x14ac:dyDescent="0.25">
      <c r="A422" s="1" t="s">
        <v>15</v>
      </c>
      <c r="B422" s="9" t="s">
        <v>1267</v>
      </c>
      <c r="C422" s="3" t="s">
        <v>1268</v>
      </c>
      <c r="D422" s="13" t="s">
        <v>1269</v>
      </c>
      <c r="F422" s="5">
        <f t="shared" si="42"/>
        <v>20.8</v>
      </c>
      <c r="G422" s="10">
        <v>20.8</v>
      </c>
      <c r="H422" s="14">
        <v>0</v>
      </c>
      <c r="I422" s="1">
        <f t="shared" si="43"/>
        <v>6.24</v>
      </c>
      <c r="J422">
        <f t="shared" si="44"/>
        <v>0</v>
      </c>
      <c r="K422">
        <f t="shared" si="45"/>
        <v>14.559999999999999</v>
      </c>
      <c r="L422">
        <f t="shared" si="46"/>
        <v>0</v>
      </c>
    </row>
    <row r="423" spans="1:12" x14ac:dyDescent="0.25">
      <c r="A423" s="1" t="s">
        <v>15</v>
      </c>
      <c r="B423" s="9" t="s">
        <v>1270</v>
      </c>
      <c r="C423" s="3" t="s">
        <v>1271</v>
      </c>
      <c r="D423" s="13" t="s">
        <v>1272</v>
      </c>
      <c r="F423" s="5">
        <f t="shared" si="42"/>
        <v>20.8</v>
      </c>
      <c r="G423" s="10">
        <v>20.8</v>
      </c>
      <c r="H423" s="14">
        <v>0</v>
      </c>
      <c r="I423" s="1">
        <f t="shared" si="43"/>
        <v>6.24</v>
      </c>
      <c r="J423">
        <f t="shared" si="44"/>
        <v>0</v>
      </c>
      <c r="K423">
        <f t="shared" si="45"/>
        <v>14.559999999999999</v>
      </c>
      <c r="L423">
        <f t="shared" si="46"/>
        <v>0</v>
      </c>
    </row>
    <row r="424" spans="1:12" x14ac:dyDescent="0.25">
      <c r="A424" s="1" t="s">
        <v>15</v>
      </c>
      <c r="B424" s="9" t="s">
        <v>1273</v>
      </c>
      <c r="C424" s="16" t="s">
        <v>1274</v>
      </c>
      <c r="D424" s="13" t="s">
        <v>1275</v>
      </c>
      <c r="F424" s="5">
        <f t="shared" si="42"/>
        <v>39</v>
      </c>
      <c r="G424" s="11">
        <v>13</v>
      </c>
      <c r="H424" s="14">
        <v>26</v>
      </c>
      <c r="I424" s="1">
        <f t="shared" si="43"/>
        <v>3.9</v>
      </c>
      <c r="J424">
        <f t="shared" si="44"/>
        <v>7.8</v>
      </c>
      <c r="K424">
        <f t="shared" si="45"/>
        <v>9.1</v>
      </c>
      <c r="L424">
        <f t="shared" si="46"/>
        <v>18.2</v>
      </c>
    </row>
    <row r="425" spans="1:12" x14ac:dyDescent="0.25">
      <c r="A425" s="1" t="s">
        <v>15</v>
      </c>
      <c r="B425" s="9" t="s">
        <v>1276</v>
      </c>
      <c r="C425" s="16" t="s">
        <v>1277</v>
      </c>
      <c r="D425" s="13" t="s">
        <v>1278</v>
      </c>
      <c r="F425" s="5">
        <f t="shared" si="42"/>
        <v>39</v>
      </c>
      <c r="G425" s="11">
        <v>13</v>
      </c>
      <c r="H425" s="14">
        <v>26</v>
      </c>
      <c r="I425" s="1">
        <f t="shared" si="43"/>
        <v>3.9</v>
      </c>
      <c r="J425">
        <f t="shared" si="44"/>
        <v>7.8</v>
      </c>
      <c r="K425">
        <f t="shared" si="45"/>
        <v>9.1</v>
      </c>
      <c r="L425">
        <f t="shared" si="46"/>
        <v>18.2</v>
      </c>
    </row>
    <row r="426" spans="1:12" x14ac:dyDescent="0.25">
      <c r="A426" s="1" t="s">
        <v>15</v>
      </c>
      <c r="B426" s="9" t="s">
        <v>1279</v>
      </c>
      <c r="C426" s="16" t="s">
        <v>1280</v>
      </c>
      <c r="D426" s="13" t="s">
        <v>1281</v>
      </c>
      <c r="F426" s="5">
        <f t="shared" si="42"/>
        <v>39</v>
      </c>
      <c r="G426" s="11">
        <v>13</v>
      </c>
      <c r="H426" s="14">
        <v>26</v>
      </c>
      <c r="I426" s="1">
        <f t="shared" si="43"/>
        <v>3.9</v>
      </c>
      <c r="J426">
        <f t="shared" si="44"/>
        <v>7.8</v>
      </c>
      <c r="K426">
        <f t="shared" si="45"/>
        <v>9.1</v>
      </c>
      <c r="L426">
        <f t="shared" si="46"/>
        <v>18.2</v>
      </c>
    </row>
    <row r="427" spans="1:12" x14ac:dyDescent="0.25">
      <c r="A427" s="1" t="s">
        <v>15</v>
      </c>
      <c r="B427" s="9" t="s">
        <v>1282</v>
      </c>
      <c r="C427" s="16" t="s">
        <v>1283</v>
      </c>
      <c r="D427" s="13" t="s">
        <v>1284</v>
      </c>
      <c r="F427" s="5">
        <f t="shared" si="42"/>
        <v>39</v>
      </c>
      <c r="G427" s="11">
        <v>13</v>
      </c>
      <c r="H427" s="14">
        <v>26</v>
      </c>
      <c r="I427" s="1">
        <f t="shared" si="43"/>
        <v>3.9</v>
      </c>
      <c r="J427">
        <f t="shared" si="44"/>
        <v>7.8</v>
      </c>
      <c r="K427">
        <f t="shared" si="45"/>
        <v>9.1</v>
      </c>
      <c r="L427">
        <f t="shared" si="46"/>
        <v>18.2</v>
      </c>
    </row>
    <row r="428" spans="1:12" x14ac:dyDescent="0.25">
      <c r="A428" s="1" t="s">
        <v>15</v>
      </c>
      <c r="B428" s="9" t="s">
        <v>1285</v>
      </c>
      <c r="C428" s="16" t="s">
        <v>1286</v>
      </c>
      <c r="D428" s="13" t="s">
        <v>1287</v>
      </c>
      <c r="F428" s="5">
        <f t="shared" si="42"/>
        <v>39</v>
      </c>
      <c r="G428" s="11">
        <v>13</v>
      </c>
      <c r="H428" s="14">
        <v>26</v>
      </c>
      <c r="I428" s="1">
        <f t="shared" si="43"/>
        <v>3.9</v>
      </c>
      <c r="J428">
        <f t="shared" si="44"/>
        <v>7.8</v>
      </c>
      <c r="K428">
        <f t="shared" si="45"/>
        <v>9.1</v>
      </c>
      <c r="L428">
        <f t="shared" si="46"/>
        <v>18.2</v>
      </c>
    </row>
    <row r="429" spans="1:12" x14ac:dyDescent="0.25">
      <c r="A429" s="1" t="s">
        <v>15</v>
      </c>
      <c r="B429" s="9" t="s">
        <v>1288</v>
      </c>
      <c r="C429" s="16" t="s">
        <v>1289</v>
      </c>
      <c r="D429" s="13" t="s">
        <v>1290</v>
      </c>
      <c r="F429" s="5">
        <f t="shared" si="42"/>
        <v>39</v>
      </c>
      <c r="G429" s="11">
        <v>13</v>
      </c>
      <c r="H429" s="14">
        <v>26</v>
      </c>
      <c r="I429" s="1">
        <f t="shared" si="43"/>
        <v>3.9</v>
      </c>
      <c r="J429">
        <f t="shared" si="44"/>
        <v>7.8</v>
      </c>
      <c r="K429">
        <f t="shared" si="45"/>
        <v>9.1</v>
      </c>
      <c r="L429">
        <f t="shared" si="46"/>
        <v>18.2</v>
      </c>
    </row>
    <row r="430" spans="1:12" x14ac:dyDescent="0.25">
      <c r="A430" s="1" t="s">
        <v>15</v>
      </c>
      <c r="B430" s="9" t="s">
        <v>1291</v>
      </c>
      <c r="C430" s="16" t="s">
        <v>1292</v>
      </c>
      <c r="D430" s="13" t="s">
        <v>1293</v>
      </c>
      <c r="F430" s="5">
        <f t="shared" si="42"/>
        <v>39</v>
      </c>
      <c r="G430" s="11">
        <v>13</v>
      </c>
      <c r="H430" s="14">
        <v>26</v>
      </c>
      <c r="I430" s="1">
        <f t="shared" si="43"/>
        <v>3.9</v>
      </c>
      <c r="J430">
        <f t="shared" si="44"/>
        <v>7.8</v>
      </c>
      <c r="K430">
        <f t="shared" si="45"/>
        <v>9.1</v>
      </c>
      <c r="L430">
        <f t="shared" si="46"/>
        <v>18.2</v>
      </c>
    </row>
    <row r="431" spans="1:12" x14ac:dyDescent="0.25">
      <c r="A431" s="1" t="s">
        <v>15</v>
      </c>
      <c r="B431" s="9" t="s">
        <v>1294</v>
      </c>
      <c r="C431" s="16" t="s">
        <v>1295</v>
      </c>
      <c r="D431" s="13" t="s">
        <v>1296</v>
      </c>
      <c r="F431" s="5">
        <f t="shared" si="42"/>
        <v>39</v>
      </c>
      <c r="G431" s="11">
        <v>13</v>
      </c>
      <c r="H431" s="14">
        <v>26</v>
      </c>
      <c r="I431" s="1">
        <f t="shared" si="43"/>
        <v>3.9</v>
      </c>
      <c r="J431">
        <f t="shared" si="44"/>
        <v>7.8</v>
      </c>
      <c r="K431">
        <f t="shared" si="45"/>
        <v>9.1</v>
      </c>
      <c r="L431">
        <f t="shared" si="46"/>
        <v>18.2</v>
      </c>
    </row>
    <row r="432" spans="1:12" x14ac:dyDescent="0.25">
      <c r="A432" s="1" t="s">
        <v>15</v>
      </c>
      <c r="B432" s="9" t="s">
        <v>1297</v>
      </c>
      <c r="C432" s="16" t="s">
        <v>1298</v>
      </c>
      <c r="D432" s="13" t="s">
        <v>1299</v>
      </c>
      <c r="F432" s="5">
        <f t="shared" si="42"/>
        <v>39</v>
      </c>
      <c r="G432" s="11">
        <v>13</v>
      </c>
      <c r="H432" s="14">
        <v>26</v>
      </c>
      <c r="I432" s="1">
        <f t="shared" si="43"/>
        <v>3.9</v>
      </c>
      <c r="J432">
        <f t="shared" si="44"/>
        <v>7.8</v>
      </c>
      <c r="K432">
        <f t="shared" si="45"/>
        <v>9.1</v>
      </c>
      <c r="L432">
        <f t="shared" si="46"/>
        <v>18.2</v>
      </c>
    </row>
    <row r="433" spans="1:12" x14ac:dyDescent="0.25">
      <c r="A433" s="1" t="s">
        <v>15</v>
      </c>
      <c r="B433" s="9" t="s">
        <v>1300</v>
      </c>
      <c r="C433" s="16" t="s">
        <v>1301</v>
      </c>
      <c r="D433" s="13" t="s">
        <v>1302</v>
      </c>
      <c r="F433" s="5">
        <f t="shared" si="42"/>
        <v>39</v>
      </c>
      <c r="G433" s="11">
        <v>13</v>
      </c>
      <c r="H433" s="14">
        <v>26</v>
      </c>
      <c r="I433" s="1">
        <f t="shared" si="43"/>
        <v>3.9</v>
      </c>
      <c r="J433">
        <f t="shared" si="44"/>
        <v>7.8</v>
      </c>
      <c r="K433">
        <f t="shared" si="45"/>
        <v>9.1</v>
      </c>
      <c r="L433">
        <f t="shared" si="46"/>
        <v>18.2</v>
      </c>
    </row>
    <row r="434" spans="1:12" x14ac:dyDescent="0.25">
      <c r="A434" s="1" t="s">
        <v>15</v>
      </c>
      <c r="B434" s="9" t="s">
        <v>1303</v>
      </c>
      <c r="C434" s="16" t="s">
        <v>1304</v>
      </c>
      <c r="D434" s="13" t="s">
        <v>1305</v>
      </c>
      <c r="F434" s="5">
        <f t="shared" si="42"/>
        <v>39</v>
      </c>
      <c r="G434" s="11">
        <v>13</v>
      </c>
      <c r="H434" s="14">
        <v>26</v>
      </c>
      <c r="I434" s="1">
        <f t="shared" si="43"/>
        <v>3.9</v>
      </c>
      <c r="J434">
        <f t="shared" si="44"/>
        <v>7.8</v>
      </c>
      <c r="K434">
        <f t="shared" si="45"/>
        <v>9.1</v>
      </c>
      <c r="L434">
        <f t="shared" si="46"/>
        <v>18.2</v>
      </c>
    </row>
    <row r="435" spans="1:12" ht="30" x14ac:dyDescent="0.25">
      <c r="A435" s="1" t="s">
        <v>15</v>
      </c>
      <c r="B435" s="9" t="s">
        <v>1306</v>
      </c>
      <c r="C435" s="16" t="s">
        <v>1307</v>
      </c>
      <c r="D435" s="13" t="s">
        <v>1308</v>
      </c>
      <c r="F435" s="5">
        <f t="shared" si="42"/>
        <v>39</v>
      </c>
      <c r="G435" s="11">
        <v>13</v>
      </c>
      <c r="H435" s="14">
        <v>26</v>
      </c>
      <c r="I435" s="1">
        <f t="shared" si="43"/>
        <v>3.9</v>
      </c>
      <c r="J435">
        <f t="shared" si="44"/>
        <v>7.8</v>
      </c>
      <c r="K435">
        <f t="shared" si="45"/>
        <v>9.1</v>
      </c>
      <c r="L435">
        <f t="shared" si="46"/>
        <v>18.2</v>
      </c>
    </row>
    <row r="436" spans="1:12" x14ac:dyDescent="0.25">
      <c r="A436" s="1" t="s">
        <v>15</v>
      </c>
      <c r="B436" s="9" t="s">
        <v>1309</v>
      </c>
      <c r="C436" s="16" t="s">
        <v>1310</v>
      </c>
      <c r="D436" s="13" t="s">
        <v>1311</v>
      </c>
      <c r="F436" s="5">
        <f t="shared" si="42"/>
        <v>39</v>
      </c>
      <c r="G436" s="11">
        <v>13</v>
      </c>
      <c r="H436" s="14">
        <v>26</v>
      </c>
      <c r="I436" s="1">
        <f t="shared" si="43"/>
        <v>3.9</v>
      </c>
      <c r="J436">
        <f t="shared" si="44"/>
        <v>7.8</v>
      </c>
      <c r="K436">
        <f t="shared" si="45"/>
        <v>9.1</v>
      </c>
      <c r="L436">
        <f t="shared" si="46"/>
        <v>18.2</v>
      </c>
    </row>
    <row r="437" spans="1:12" x14ac:dyDescent="0.25">
      <c r="A437" s="1" t="s">
        <v>15</v>
      </c>
      <c r="B437" s="9" t="s">
        <v>1312</v>
      </c>
      <c r="C437" s="16" t="s">
        <v>1313</v>
      </c>
      <c r="D437" s="13" t="s">
        <v>1314</v>
      </c>
      <c r="F437" s="5">
        <f t="shared" si="42"/>
        <v>39</v>
      </c>
      <c r="G437" s="11">
        <v>13</v>
      </c>
      <c r="H437" s="14">
        <v>26</v>
      </c>
      <c r="I437" s="1">
        <f t="shared" si="43"/>
        <v>3.9</v>
      </c>
      <c r="J437">
        <f t="shared" si="44"/>
        <v>7.8</v>
      </c>
      <c r="K437">
        <f t="shared" si="45"/>
        <v>9.1</v>
      </c>
      <c r="L437">
        <f t="shared" si="46"/>
        <v>18.2</v>
      </c>
    </row>
    <row r="438" spans="1:12" ht="30" x14ac:dyDescent="0.25">
      <c r="A438" s="1" t="s">
        <v>15</v>
      </c>
      <c r="B438" s="9" t="s">
        <v>1315</v>
      </c>
      <c r="C438" s="16" t="s">
        <v>1316</v>
      </c>
      <c r="D438" s="13" t="s">
        <v>1317</v>
      </c>
      <c r="F438" s="5">
        <f t="shared" si="42"/>
        <v>39</v>
      </c>
      <c r="G438" s="11">
        <v>13</v>
      </c>
      <c r="H438" s="14">
        <v>26</v>
      </c>
      <c r="I438" s="1">
        <f t="shared" si="43"/>
        <v>3.9</v>
      </c>
      <c r="J438">
        <f t="shared" si="44"/>
        <v>7.8</v>
      </c>
      <c r="K438">
        <f t="shared" si="45"/>
        <v>9.1</v>
      </c>
      <c r="L438">
        <f t="shared" si="46"/>
        <v>18.2</v>
      </c>
    </row>
    <row r="439" spans="1:12" ht="30" x14ac:dyDescent="0.25">
      <c r="A439" s="1" t="s">
        <v>15</v>
      </c>
      <c r="B439" s="9" t="s">
        <v>1318</v>
      </c>
      <c r="C439" s="16" t="s">
        <v>1319</v>
      </c>
      <c r="D439" s="13" t="s">
        <v>1320</v>
      </c>
      <c r="F439" s="5">
        <f t="shared" si="42"/>
        <v>39</v>
      </c>
      <c r="G439" s="11">
        <v>13</v>
      </c>
      <c r="H439" s="14">
        <v>26</v>
      </c>
      <c r="I439" s="1">
        <f t="shared" si="43"/>
        <v>3.9</v>
      </c>
      <c r="J439">
        <f t="shared" si="44"/>
        <v>7.8</v>
      </c>
      <c r="K439">
        <f t="shared" si="45"/>
        <v>9.1</v>
      </c>
      <c r="L439">
        <f t="shared" si="46"/>
        <v>18.2</v>
      </c>
    </row>
    <row r="440" spans="1:12" ht="30" x14ac:dyDescent="0.25">
      <c r="A440" s="1" t="s">
        <v>15</v>
      </c>
      <c r="B440" s="9" t="s">
        <v>1321</v>
      </c>
      <c r="C440" s="16" t="s">
        <v>1322</v>
      </c>
      <c r="D440" s="13" t="s">
        <v>1323</v>
      </c>
      <c r="F440" s="5">
        <f t="shared" si="42"/>
        <v>39</v>
      </c>
      <c r="G440" s="11">
        <v>13</v>
      </c>
      <c r="H440" s="14">
        <v>26</v>
      </c>
      <c r="I440" s="1">
        <f t="shared" si="43"/>
        <v>3.9</v>
      </c>
      <c r="J440">
        <f t="shared" si="44"/>
        <v>7.8</v>
      </c>
      <c r="K440">
        <f t="shared" si="45"/>
        <v>9.1</v>
      </c>
      <c r="L440">
        <f t="shared" si="46"/>
        <v>18.2</v>
      </c>
    </row>
    <row r="441" spans="1:12" x14ac:dyDescent="0.25">
      <c r="A441" s="1" t="s">
        <v>15</v>
      </c>
      <c r="B441" s="9" t="s">
        <v>1324</v>
      </c>
      <c r="C441" s="16" t="s">
        <v>1325</v>
      </c>
      <c r="D441" s="13" t="s">
        <v>1326</v>
      </c>
      <c r="F441" s="5">
        <f t="shared" si="42"/>
        <v>39</v>
      </c>
      <c r="G441" s="11">
        <v>13</v>
      </c>
      <c r="H441" s="14">
        <v>26</v>
      </c>
      <c r="I441" s="1">
        <f t="shared" si="43"/>
        <v>3.9</v>
      </c>
      <c r="J441">
        <f t="shared" si="44"/>
        <v>7.8</v>
      </c>
      <c r="K441">
        <f t="shared" si="45"/>
        <v>9.1</v>
      </c>
      <c r="L441">
        <f t="shared" si="46"/>
        <v>18.2</v>
      </c>
    </row>
    <row r="442" spans="1:12" ht="30" x14ac:dyDescent="0.25">
      <c r="A442" s="1" t="s">
        <v>15</v>
      </c>
      <c r="B442" s="9" t="s">
        <v>1327</v>
      </c>
      <c r="C442" s="16" t="s">
        <v>1328</v>
      </c>
      <c r="D442" s="13" t="s">
        <v>1329</v>
      </c>
      <c r="F442" s="5">
        <f t="shared" si="42"/>
        <v>39</v>
      </c>
      <c r="G442" s="11">
        <v>13</v>
      </c>
      <c r="H442" s="14">
        <v>26</v>
      </c>
      <c r="I442" s="1">
        <f t="shared" si="43"/>
        <v>3.9</v>
      </c>
      <c r="J442">
        <f t="shared" si="44"/>
        <v>7.8</v>
      </c>
      <c r="K442">
        <f t="shared" si="45"/>
        <v>9.1</v>
      </c>
      <c r="L442">
        <f t="shared" si="46"/>
        <v>18.2</v>
      </c>
    </row>
    <row r="443" spans="1:12" ht="30" x14ac:dyDescent="0.25">
      <c r="A443" s="1" t="s">
        <v>15</v>
      </c>
      <c r="B443" s="9" t="s">
        <v>1330</v>
      </c>
      <c r="C443" s="16" t="s">
        <v>1331</v>
      </c>
      <c r="D443" s="13" t="s">
        <v>1332</v>
      </c>
      <c r="F443" s="5">
        <f t="shared" si="42"/>
        <v>39</v>
      </c>
      <c r="G443" s="11">
        <v>13</v>
      </c>
      <c r="H443" s="14">
        <v>26</v>
      </c>
      <c r="I443" s="1">
        <f t="shared" si="43"/>
        <v>3.9</v>
      </c>
      <c r="J443">
        <f t="shared" si="44"/>
        <v>7.8</v>
      </c>
      <c r="K443">
        <f t="shared" si="45"/>
        <v>9.1</v>
      </c>
      <c r="L443">
        <f t="shared" si="46"/>
        <v>18.2</v>
      </c>
    </row>
    <row r="444" spans="1:12" ht="30" x14ac:dyDescent="0.25">
      <c r="A444" s="1" t="s">
        <v>15</v>
      </c>
      <c r="B444" s="9" t="s">
        <v>1333</v>
      </c>
      <c r="C444" s="16" t="s">
        <v>1334</v>
      </c>
      <c r="D444" s="13" t="s">
        <v>1335</v>
      </c>
      <c r="F444" s="5">
        <f t="shared" si="42"/>
        <v>39</v>
      </c>
      <c r="G444" s="11">
        <v>13</v>
      </c>
      <c r="H444" s="14">
        <v>26</v>
      </c>
      <c r="I444" s="1">
        <f t="shared" si="43"/>
        <v>3.9</v>
      </c>
      <c r="J444">
        <f t="shared" si="44"/>
        <v>7.8</v>
      </c>
      <c r="K444">
        <f t="shared" si="45"/>
        <v>9.1</v>
      </c>
      <c r="L444">
        <f t="shared" si="46"/>
        <v>18.2</v>
      </c>
    </row>
    <row r="445" spans="1:12" x14ac:dyDescent="0.25">
      <c r="A445" s="1" t="s">
        <v>15</v>
      </c>
      <c r="B445" s="9" t="s">
        <v>1336</v>
      </c>
      <c r="C445" s="16" t="s">
        <v>1337</v>
      </c>
      <c r="D445" s="4" t="s">
        <v>1338</v>
      </c>
      <c r="F445" s="5">
        <f t="shared" si="42"/>
        <v>39</v>
      </c>
      <c r="G445" s="11">
        <v>13</v>
      </c>
      <c r="H445" s="14">
        <v>26</v>
      </c>
      <c r="I445" s="1">
        <f t="shared" si="43"/>
        <v>3.9</v>
      </c>
      <c r="J445">
        <f t="shared" si="44"/>
        <v>7.8</v>
      </c>
      <c r="K445">
        <f t="shared" si="45"/>
        <v>9.1</v>
      </c>
      <c r="L445">
        <f t="shared" si="46"/>
        <v>18.2</v>
      </c>
    </row>
    <row r="446" spans="1:12" ht="30" x14ac:dyDescent="0.25">
      <c r="A446" s="1" t="s">
        <v>15</v>
      </c>
      <c r="B446" s="9" t="s">
        <v>1339</v>
      </c>
      <c r="C446" s="16" t="s">
        <v>1340</v>
      </c>
      <c r="D446" s="13" t="s">
        <v>1341</v>
      </c>
      <c r="F446" s="5">
        <f t="shared" si="42"/>
        <v>39</v>
      </c>
      <c r="G446" s="11">
        <v>13</v>
      </c>
      <c r="H446" s="14">
        <v>26</v>
      </c>
      <c r="I446" s="1">
        <f t="shared" si="43"/>
        <v>3.9</v>
      </c>
      <c r="J446">
        <f t="shared" si="44"/>
        <v>7.8</v>
      </c>
      <c r="K446">
        <f t="shared" si="45"/>
        <v>9.1</v>
      </c>
      <c r="L446">
        <f t="shared" si="46"/>
        <v>18.2</v>
      </c>
    </row>
    <row r="447" spans="1:12" ht="30" x14ac:dyDescent="0.25">
      <c r="A447" s="1" t="s">
        <v>15</v>
      </c>
      <c r="B447" s="9" t="s">
        <v>1342</v>
      </c>
      <c r="C447" s="16" t="s">
        <v>1343</v>
      </c>
      <c r="D447" s="13" t="s">
        <v>1344</v>
      </c>
      <c r="F447" s="5">
        <f t="shared" si="42"/>
        <v>39</v>
      </c>
      <c r="G447" s="11">
        <v>13</v>
      </c>
      <c r="H447" s="14">
        <v>26</v>
      </c>
      <c r="I447" s="1">
        <f t="shared" si="43"/>
        <v>3.9</v>
      </c>
      <c r="J447">
        <f t="shared" si="44"/>
        <v>7.8</v>
      </c>
      <c r="K447">
        <f t="shared" si="45"/>
        <v>9.1</v>
      </c>
      <c r="L447">
        <f t="shared" si="46"/>
        <v>18.2</v>
      </c>
    </row>
    <row r="448" spans="1:12" ht="76.5" customHeight="1" x14ac:dyDescent="0.25">
      <c r="A448" s="1" t="s">
        <v>15</v>
      </c>
      <c r="B448" s="9" t="s">
        <v>1345</v>
      </c>
      <c r="C448" s="16" t="s">
        <v>1346</v>
      </c>
      <c r="D448" s="13" t="s">
        <v>1347</v>
      </c>
      <c r="F448" s="5">
        <f t="shared" si="42"/>
        <v>39</v>
      </c>
      <c r="G448" s="11">
        <v>13</v>
      </c>
      <c r="H448" s="14">
        <v>26</v>
      </c>
      <c r="I448" s="1">
        <f t="shared" si="43"/>
        <v>3.9</v>
      </c>
      <c r="J448">
        <f t="shared" si="44"/>
        <v>7.8</v>
      </c>
      <c r="K448">
        <f t="shared" si="45"/>
        <v>9.1</v>
      </c>
      <c r="L448">
        <f t="shared" si="46"/>
        <v>18.2</v>
      </c>
    </row>
    <row r="449" spans="1:12" x14ac:dyDescent="0.25">
      <c r="A449" s="1" t="s">
        <v>15</v>
      </c>
      <c r="B449" s="9" t="s">
        <v>1348</v>
      </c>
      <c r="C449" s="16" t="s">
        <v>1349</v>
      </c>
      <c r="D449" s="13" t="s">
        <v>1350</v>
      </c>
      <c r="F449" s="5">
        <f t="shared" si="42"/>
        <v>39</v>
      </c>
      <c r="G449" s="11">
        <v>13</v>
      </c>
      <c r="H449" s="14">
        <v>26</v>
      </c>
      <c r="I449" s="1">
        <f t="shared" si="43"/>
        <v>3.9</v>
      </c>
      <c r="J449">
        <f t="shared" si="44"/>
        <v>7.8</v>
      </c>
      <c r="K449">
        <f t="shared" si="45"/>
        <v>9.1</v>
      </c>
      <c r="L449">
        <f t="shared" si="46"/>
        <v>18.2</v>
      </c>
    </row>
    <row r="450" spans="1:12" x14ac:dyDescent="0.25">
      <c r="A450" s="1" t="s">
        <v>15</v>
      </c>
      <c r="B450" s="9" t="s">
        <v>1351</v>
      </c>
      <c r="C450" s="16" t="s">
        <v>1352</v>
      </c>
      <c r="D450" s="13" t="s">
        <v>1353</v>
      </c>
      <c r="F450" s="5">
        <f t="shared" si="42"/>
        <v>39</v>
      </c>
      <c r="G450" s="11">
        <v>13</v>
      </c>
      <c r="H450" s="14">
        <v>26</v>
      </c>
      <c r="I450" s="1">
        <f t="shared" si="43"/>
        <v>3.9</v>
      </c>
      <c r="J450">
        <f t="shared" si="44"/>
        <v>7.8</v>
      </c>
      <c r="K450">
        <f t="shared" si="45"/>
        <v>9.1</v>
      </c>
      <c r="L450">
        <f t="shared" si="46"/>
        <v>18.2</v>
      </c>
    </row>
    <row r="451" spans="1:12" x14ac:dyDescent="0.25">
      <c r="A451" s="1" t="s">
        <v>15</v>
      </c>
      <c r="B451" s="9" t="s">
        <v>1354</v>
      </c>
      <c r="C451" s="16" t="s">
        <v>1355</v>
      </c>
      <c r="D451" s="13" t="s">
        <v>1356</v>
      </c>
      <c r="F451" s="5">
        <f t="shared" si="42"/>
        <v>39</v>
      </c>
      <c r="G451" s="11">
        <v>13</v>
      </c>
      <c r="H451" s="14">
        <v>26</v>
      </c>
      <c r="I451" s="1">
        <f t="shared" si="43"/>
        <v>3.9</v>
      </c>
      <c r="J451">
        <f t="shared" si="44"/>
        <v>7.8</v>
      </c>
      <c r="K451">
        <f t="shared" si="45"/>
        <v>9.1</v>
      </c>
      <c r="L451">
        <f t="shared" si="46"/>
        <v>18.2</v>
      </c>
    </row>
    <row r="452" spans="1:12" x14ac:dyDescent="0.25">
      <c r="A452" s="1" t="s">
        <v>15</v>
      </c>
      <c r="B452" s="9" t="s">
        <v>1357</v>
      </c>
      <c r="C452" s="16" t="s">
        <v>1358</v>
      </c>
      <c r="D452" s="13" t="s">
        <v>1359</v>
      </c>
      <c r="F452" s="5">
        <f t="shared" si="42"/>
        <v>39</v>
      </c>
      <c r="G452" s="11">
        <v>13</v>
      </c>
      <c r="H452" s="14">
        <v>26</v>
      </c>
      <c r="I452" s="1">
        <f t="shared" ref="I452:I515" si="47">G452*0.3</f>
        <v>3.9</v>
      </c>
      <c r="J452">
        <f t="shared" ref="J452:J515" si="48">H452*0.3</f>
        <v>7.8</v>
      </c>
      <c r="K452">
        <f t="shared" ref="K452:K515" si="49">G452*0.7</f>
        <v>9.1</v>
      </c>
      <c r="L452">
        <f t="shared" ref="L452:L515" si="50">H452*0.7</f>
        <v>18.2</v>
      </c>
    </row>
    <row r="453" spans="1:12" x14ac:dyDescent="0.25">
      <c r="A453" s="1" t="s">
        <v>15</v>
      </c>
      <c r="B453" s="9" t="s">
        <v>1360</v>
      </c>
      <c r="C453" s="16" t="s">
        <v>1361</v>
      </c>
      <c r="D453" s="13" t="s">
        <v>1362</v>
      </c>
      <c r="F453" s="5">
        <f t="shared" si="42"/>
        <v>39</v>
      </c>
      <c r="G453" s="11">
        <v>13</v>
      </c>
      <c r="H453" s="14">
        <v>26</v>
      </c>
      <c r="I453" s="1">
        <f t="shared" si="47"/>
        <v>3.9</v>
      </c>
      <c r="J453">
        <f t="shared" si="48"/>
        <v>7.8</v>
      </c>
      <c r="K453">
        <f t="shared" si="49"/>
        <v>9.1</v>
      </c>
      <c r="L453">
        <f t="shared" si="50"/>
        <v>18.2</v>
      </c>
    </row>
    <row r="454" spans="1:12" x14ac:dyDescent="0.25">
      <c r="A454" s="1" t="s">
        <v>15</v>
      </c>
      <c r="B454" s="9" t="s">
        <v>1363</v>
      </c>
      <c r="C454" s="16" t="s">
        <v>1364</v>
      </c>
      <c r="D454" s="13" t="s">
        <v>1365</v>
      </c>
      <c r="F454" s="5">
        <f t="shared" si="42"/>
        <v>39</v>
      </c>
      <c r="G454" s="11">
        <v>13</v>
      </c>
      <c r="H454" s="14">
        <v>26</v>
      </c>
      <c r="I454" s="1">
        <f t="shared" si="47"/>
        <v>3.9</v>
      </c>
      <c r="J454">
        <f t="shared" si="48"/>
        <v>7.8</v>
      </c>
      <c r="K454">
        <f t="shared" si="49"/>
        <v>9.1</v>
      </c>
      <c r="L454">
        <f t="shared" si="50"/>
        <v>18.2</v>
      </c>
    </row>
    <row r="455" spans="1:12" x14ac:dyDescent="0.25">
      <c r="A455" s="1" t="s">
        <v>15</v>
      </c>
      <c r="B455" s="9" t="s">
        <v>1366</v>
      </c>
      <c r="C455" s="16" t="s">
        <v>1367</v>
      </c>
      <c r="D455" s="13" t="s">
        <v>1368</v>
      </c>
      <c r="F455" s="5">
        <f t="shared" si="42"/>
        <v>39</v>
      </c>
      <c r="G455" s="11">
        <v>13</v>
      </c>
      <c r="H455" s="14">
        <v>26</v>
      </c>
      <c r="I455" s="1">
        <f t="shared" si="47"/>
        <v>3.9</v>
      </c>
      <c r="J455">
        <f t="shared" si="48"/>
        <v>7.8</v>
      </c>
      <c r="K455">
        <f t="shared" si="49"/>
        <v>9.1</v>
      </c>
      <c r="L455">
        <f t="shared" si="50"/>
        <v>18.2</v>
      </c>
    </row>
    <row r="456" spans="1:12" x14ac:dyDescent="0.25">
      <c r="A456" s="1" t="s">
        <v>15</v>
      </c>
      <c r="B456" s="9" t="s">
        <v>1369</v>
      </c>
      <c r="C456" s="16" t="s">
        <v>1370</v>
      </c>
      <c r="D456" s="13" t="s">
        <v>1371</v>
      </c>
      <c r="F456" s="5">
        <f t="shared" si="42"/>
        <v>19.5</v>
      </c>
      <c r="G456" s="11">
        <v>6.5</v>
      </c>
      <c r="H456" s="14">
        <v>13</v>
      </c>
      <c r="I456" s="1">
        <f t="shared" si="47"/>
        <v>1.95</v>
      </c>
      <c r="J456">
        <f t="shared" si="48"/>
        <v>3.9</v>
      </c>
      <c r="K456">
        <f t="shared" si="49"/>
        <v>4.55</v>
      </c>
      <c r="L456">
        <f t="shared" si="50"/>
        <v>9.1</v>
      </c>
    </row>
    <row r="457" spans="1:12" x14ac:dyDescent="0.25">
      <c r="A457" s="1" t="s">
        <v>15</v>
      </c>
      <c r="B457" s="9" t="s">
        <v>1372</v>
      </c>
      <c r="C457" s="16" t="s">
        <v>1373</v>
      </c>
      <c r="D457" s="13" t="s">
        <v>1374</v>
      </c>
      <c r="F457" s="5">
        <f t="shared" si="42"/>
        <v>19.5</v>
      </c>
      <c r="G457" s="11">
        <v>6.5</v>
      </c>
      <c r="H457" s="14">
        <v>13</v>
      </c>
      <c r="I457" s="1">
        <f t="shared" si="47"/>
        <v>1.95</v>
      </c>
      <c r="J457">
        <f t="shared" si="48"/>
        <v>3.9</v>
      </c>
      <c r="K457">
        <f t="shared" si="49"/>
        <v>4.55</v>
      </c>
      <c r="L457">
        <f t="shared" si="50"/>
        <v>9.1</v>
      </c>
    </row>
    <row r="458" spans="1:12" x14ac:dyDescent="0.25">
      <c r="A458" s="1" t="s">
        <v>15</v>
      </c>
      <c r="B458" s="9" t="s">
        <v>1375</v>
      </c>
      <c r="C458" s="16" t="s">
        <v>1376</v>
      </c>
      <c r="D458" s="13" t="s">
        <v>1377</v>
      </c>
      <c r="F458" s="5">
        <f t="shared" si="42"/>
        <v>19.5</v>
      </c>
      <c r="G458" s="11">
        <v>6.5</v>
      </c>
      <c r="H458" s="14">
        <v>13</v>
      </c>
      <c r="I458" s="1">
        <f t="shared" si="47"/>
        <v>1.95</v>
      </c>
      <c r="J458">
        <f t="shared" si="48"/>
        <v>3.9</v>
      </c>
      <c r="K458">
        <f t="shared" si="49"/>
        <v>4.55</v>
      </c>
      <c r="L458">
        <f t="shared" si="50"/>
        <v>9.1</v>
      </c>
    </row>
    <row r="459" spans="1:12" x14ac:dyDescent="0.25">
      <c r="A459" s="1" t="s">
        <v>15</v>
      </c>
      <c r="B459" s="9" t="s">
        <v>1378</v>
      </c>
      <c r="C459" s="16" t="s">
        <v>1379</v>
      </c>
      <c r="D459" s="13" t="s">
        <v>1380</v>
      </c>
      <c r="F459" s="5">
        <f t="shared" si="42"/>
        <v>19.5</v>
      </c>
      <c r="G459" s="11">
        <v>6.5</v>
      </c>
      <c r="H459" s="14">
        <v>13</v>
      </c>
      <c r="I459" s="1">
        <f t="shared" si="47"/>
        <v>1.95</v>
      </c>
      <c r="J459">
        <f t="shared" si="48"/>
        <v>3.9</v>
      </c>
      <c r="K459">
        <f t="shared" si="49"/>
        <v>4.55</v>
      </c>
      <c r="L459">
        <f t="shared" si="50"/>
        <v>9.1</v>
      </c>
    </row>
    <row r="460" spans="1:12" x14ac:dyDescent="0.25">
      <c r="A460" s="1" t="s">
        <v>15</v>
      </c>
      <c r="B460" s="9" t="s">
        <v>1381</v>
      </c>
      <c r="C460" s="16" t="s">
        <v>1382</v>
      </c>
      <c r="D460" s="13" t="s">
        <v>1383</v>
      </c>
      <c r="F460" s="5">
        <f t="shared" si="42"/>
        <v>19.5</v>
      </c>
      <c r="G460" s="11">
        <v>6.5</v>
      </c>
      <c r="H460" s="14">
        <v>13</v>
      </c>
      <c r="I460" s="1">
        <f t="shared" si="47"/>
        <v>1.95</v>
      </c>
      <c r="J460">
        <f t="shared" si="48"/>
        <v>3.9</v>
      </c>
      <c r="K460">
        <f t="shared" si="49"/>
        <v>4.55</v>
      </c>
      <c r="L460">
        <f t="shared" si="50"/>
        <v>9.1</v>
      </c>
    </row>
    <row r="461" spans="1:12" x14ac:dyDescent="0.25">
      <c r="A461" s="1" t="s">
        <v>15</v>
      </c>
      <c r="B461" s="9" t="s">
        <v>1384</v>
      </c>
      <c r="C461" s="16" t="s">
        <v>1385</v>
      </c>
      <c r="D461" s="13" t="s">
        <v>1386</v>
      </c>
      <c r="F461" s="5">
        <f t="shared" si="42"/>
        <v>13</v>
      </c>
      <c r="G461" s="11">
        <v>13</v>
      </c>
      <c r="H461" s="14">
        <v>0</v>
      </c>
      <c r="I461" s="1">
        <f t="shared" si="47"/>
        <v>3.9</v>
      </c>
      <c r="J461">
        <f t="shared" si="48"/>
        <v>0</v>
      </c>
      <c r="K461">
        <f t="shared" si="49"/>
        <v>9.1</v>
      </c>
      <c r="L461">
        <f t="shared" si="50"/>
        <v>0</v>
      </c>
    </row>
    <row r="462" spans="1:12" x14ac:dyDescent="0.25">
      <c r="A462" s="1" t="s">
        <v>15</v>
      </c>
      <c r="B462" s="9" t="s">
        <v>1387</v>
      </c>
      <c r="C462" s="16" t="s">
        <v>1388</v>
      </c>
      <c r="D462" s="13" t="s">
        <v>1389</v>
      </c>
      <c r="F462" s="5">
        <f>G462+H462</f>
        <v>15.600000000000001</v>
      </c>
      <c r="G462" s="11">
        <v>5.2</v>
      </c>
      <c r="H462" s="14">
        <v>10.4</v>
      </c>
      <c r="I462" s="1">
        <f t="shared" si="47"/>
        <v>1.56</v>
      </c>
      <c r="J462">
        <f t="shared" si="48"/>
        <v>3.12</v>
      </c>
      <c r="K462">
        <f t="shared" si="49"/>
        <v>3.6399999999999997</v>
      </c>
      <c r="L462">
        <f t="shared" si="50"/>
        <v>7.2799999999999994</v>
      </c>
    </row>
    <row r="463" spans="1:12" x14ac:dyDescent="0.25">
      <c r="A463" s="1" t="s">
        <v>15</v>
      </c>
      <c r="B463" s="9" t="s">
        <v>1390</v>
      </c>
      <c r="C463" s="16" t="s">
        <v>1391</v>
      </c>
      <c r="D463" s="13" t="s">
        <v>1392</v>
      </c>
      <c r="F463" s="5">
        <f t="shared" si="42"/>
        <v>19.5</v>
      </c>
      <c r="G463" s="11">
        <v>6.5</v>
      </c>
      <c r="H463" s="14">
        <v>13</v>
      </c>
      <c r="I463" s="1">
        <f t="shared" si="47"/>
        <v>1.95</v>
      </c>
      <c r="J463">
        <f t="shared" si="48"/>
        <v>3.9</v>
      </c>
      <c r="K463">
        <f t="shared" si="49"/>
        <v>4.55</v>
      </c>
      <c r="L463">
        <f t="shared" si="50"/>
        <v>9.1</v>
      </c>
    </row>
    <row r="464" spans="1:12" x14ac:dyDescent="0.25">
      <c r="A464" s="1" t="s">
        <v>15</v>
      </c>
      <c r="B464" s="9" t="s">
        <v>1393</v>
      </c>
      <c r="C464" s="3" t="s">
        <v>1394</v>
      </c>
      <c r="D464" s="4" t="s">
        <v>1395</v>
      </c>
      <c r="F464" s="5">
        <f t="shared" ref="F464:F471" si="51">G464+H464</f>
        <v>59.800000000000004</v>
      </c>
      <c r="G464" s="6">
        <v>59.800000000000004</v>
      </c>
      <c r="H464" s="8">
        <v>0</v>
      </c>
      <c r="I464" s="1">
        <f t="shared" si="47"/>
        <v>17.940000000000001</v>
      </c>
      <c r="J464">
        <f t="shared" si="48"/>
        <v>0</v>
      </c>
      <c r="K464">
        <f t="shared" si="49"/>
        <v>41.86</v>
      </c>
      <c r="L464">
        <f t="shared" si="50"/>
        <v>0</v>
      </c>
    </row>
    <row r="465" spans="1:12" x14ac:dyDescent="0.25">
      <c r="A465" s="1" t="s">
        <v>15</v>
      </c>
      <c r="B465" s="9" t="s">
        <v>1396</v>
      </c>
      <c r="C465" s="3" t="s">
        <v>1397</v>
      </c>
      <c r="D465" s="4" t="s">
        <v>1398</v>
      </c>
      <c r="F465" s="5">
        <f t="shared" si="51"/>
        <v>46.800000000000004</v>
      </c>
      <c r="G465" s="6">
        <v>46.800000000000004</v>
      </c>
      <c r="H465" s="8">
        <v>0</v>
      </c>
      <c r="I465" s="1">
        <f t="shared" si="47"/>
        <v>14.040000000000001</v>
      </c>
      <c r="J465">
        <f t="shared" si="48"/>
        <v>0</v>
      </c>
      <c r="K465">
        <f t="shared" si="49"/>
        <v>32.76</v>
      </c>
      <c r="L465">
        <f t="shared" si="50"/>
        <v>0</v>
      </c>
    </row>
    <row r="466" spans="1:12" x14ac:dyDescent="0.25">
      <c r="A466" s="1" t="s">
        <v>15</v>
      </c>
      <c r="B466" s="9" t="s">
        <v>1399</v>
      </c>
      <c r="C466" s="3" t="s">
        <v>1400</v>
      </c>
      <c r="D466" s="4" t="s">
        <v>1401</v>
      </c>
      <c r="F466" s="5">
        <f t="shared" si="51"/>
        <v>46.800000000000004</v>
      </c>
      <c r="G466" s="6">
        <v>46.800000000000004</v>
      </c>
      <c r="H466" s="8">
        <v>0</v>
      </c>
      <c r="I466" s="1">
        <f t="shared" si="47"/>
        <v>14.040000000000001</v>
      </c>
      <c r="J466">
        <f t="shared" si="48"/>
        <v>0</v>
      </c>
      <c r="K466">
        <f t="shared" si="49"/>
        <v>32.76</v>
      </c>
      <c r="L466">
        <f t="shared" si="50"/>
        <v>0</v>
      </c>
    </row>
    <row r="467" spans="1:12" x14ac:dyDescent="0.25">
      <c r="A467" s="1" t="s">
        <v>15</v>
      </c>
      <c r="B467" s="9" t="s">
        <v>1402</v>
      </c>
      <c r="C467" s="3" t="s">
        <v>1403</v>
      </c>
      <c r="D467" s="4" t="s">
        <v>1404</v>
      </c>
      <c r="F467" s="5">
        <f t="shared" si="51"/>
        <v>91</v>
      </c>
      <c r="G467" s="6">
        <v>91</v>
      </c>
      <c r="H467" s="8">
        <v>0</v>
      </c>
      <c r="I467" s="1">
        <f t="shared" si="47"/>
        <v>27.3</v>
      </c>
      <c r="J467">
        <f t="shared" si="48"/>
        <v>0</v>
      </c>
      <c r="K467">
        <f t="shared" si="49"/>
        <v>63.699999999999996</v>
      </c>
      <c r="L467">
        <f t="shared" si="50"/>
        <v>0</v>
      </c>
    </row>
    <row r="468" spans="1:12" x14ac:dyDescent="0.25">
      <c r="A468" s="1" t="s">
        <v>15</v>
      </c>
      <c r="B468" s="9" t="s">
        <v>1405</v>
      </c>
      <c r="C468" s="3" t="s">
        <v>1406</v>
      </c>
      <c r="D468" s="4" t="s">
        <v>1407</v>
      </c>
      <c r="F468" s="5">
        <f t="shared" si="51"/>
        <v>72.8</v>
      </c>
      <c r="G468" s="6">
        <v>72.8</v>
      </c>
      <c r="H468" s="8">
        <v>0</v>
      </c>
      <c r="I468" s="1">
        <f t="shared" si="47"/>
        <v>21.84</v>
      </c>
      <c r="J468">
        <f t="shared" si="48"/>
        <v>0</v>
      </c>
      <c r="K468">
        <f t="shared" si="49"/>
        <v>50.959999999999994</v>
      </c>
      <c r="L468">
        <f t="shared" si="50"/>
        <v>0</v>
      </c>
    </row>
    <row r="469" spans="1:12" x14ac:dyDescent="0.25">
      <c r="A469" s="1" t="s">
        <v>15</v>
      </c>
      <c r="B469" s="9" t="s">
        <v>1408</v>
      </c>
      <c r="C469" s="3" t="s">
        <v>1409</v>
      </c>
      <c r="D469" s="4" t="s">
        <v>1410</v>
      </c>
      <c r="F469" s="5">
        <f t="shared" si="51"/>
        <v>80.599999999999994</v>
      </c>
      <c r="G469" s="6">
        <v>7.8000000000000007</v>
      </c>
      <c r="H469" s="8">
        <v>72.8</v>
      </c>
      <c r="I469" s="1">
        <f t="shared" si="47"/>
        <v>2.3400000000000003</v>
      </c>
      <c r="J469">
        <f t="shared" si="48"/>
        <v>21.84</v>
      </c>
      <c r="K469">
        <f t="shared" si="49"/>
        <v>5.46</v>
      </c>
      <c r="L469">
        <f t="shared" si="50"/>
        <v>50.959999999999994</v>
      </c>
    </row>
    <row r="470" spans="1:12" x14ac:dyDescent="0.25">
      <c r="A470" s="1" t="s">
        <v>15</v>
      </c>
      <c r="B470" s="9" t="s">
        <v>1411</v>
      </c>
      <c r="C470" s="3" t="s">
        <v>1412</v>
      </c>
      <c r="D470" s="4" t="s">
        <v>1413</v>
      </c>
      <c r="F470" s="5">
        <f t="shared" si="51"/>
        <v>62.400000000000006</v>
      </c>
      <c r="G470" s="6">
        <v>5.2</v>
      </c>
      <c r="H470" s="8">
        <v>57.2</v>
      </c>
      <c r="I470" s="1">
        <f t="shared" si="47"/>
        <v>1.56</v>
      </c>
      <c r="J470">
        <f t="shared" si="48"/>
        <v>17.16</v>
      </c>
      <c r="K470">
        <f t="shared" si="49"/>
        <v>3.6399999999999997</v>
      </c>
      <c r="L470">
        <f t="shared" si="50"/>
        <v>40.04</v>
      </c>
    </row>
    <row r="471" spans="1:12" x14ac:dyDescent="0.25">
      <c r="A471" s="1" t="s">
        <v>15</v>
      </c>
      <c r="B471" s="9" t="s">
        <v>1414</v>
      </c>
      <c r="C471" s="3" t="s">
        <v>1415</v>
      </c>
      <c r="D471" s="4" t="s">
        <v>1416</v>
      </c>
      <c r="F471" s="5">
        <f t="shared" si="51"/>
        <v>59.8</v>
      </c>
      <c r="G471" s="6">
        <v>7.8000000000000007</v>
      </c>
      <c r="H471" s="8">
        <v>52</v>
      </c>
      <c r="I471" s="1">
        <f t="shared" si="47"/>
        <v>2.3400000000000003</v>
      </c>
      <c r="J471">
        <f t="shared" si="48"/>
        <v>15.6</v>
      </c>
      <c r="K471">
        <f t="shared" si="49"/>
        <v>5.46</v>
      </c>
      <c r="L471">
        <f t="shared" si="50"/>
        <v>36.4</v>
      </c>
    </row>
    <row r="472" spans="1:12" x14ac:dyDescent="0.25">
      <c r="A472" s="1" t="s">
        <v>15</v>
      </c>
      <c r="B472" s="9" t="s">
        <v>1417</v>
      </c>
      <c r="C472" s="3" t="s">
        <v>1418</v>
      </c>
      <c r="D472" s="15" t="s">
        <v>1419</v>
      </c>
      <c r="F472" s="5">
        <f>G472+H472</f>
        <v>13</v>
      </c>
      <c r="G472" s="10">
        <v>13</v>
      </c>
      <c r="H472" s="7">
        <v>0</v>
      </c>
      <c r="I472" s="1">
        <f t="shared" si="47"/>
        <v>3.9</v>
      </c>
      <c r="J472">
        <f t="shared" si="48"/>
        <v>0</v>
      </c>
      <c r="K472">
        <f t="shared" si="49"/>
        <v>9.1</v>
      </c>
      <c r="L472">
        <f t="shared" si="50"/>
        <v>0</v>
      </c>
    </row>
    <row r="473" spans="1:12" x14ac:dyDescent="0.25">
      <c r="A473" s="1" t="s">
        <v>15</v>
      </c>
      <c r="B473" s="9" t="s">
        <v>1420</v>
      </c>
      <c r="C473" s="3" t="s">
        <v>1421</v>
      </c>
      <c r="D473" s="4" t="s">
        <v>1422</v>
      </c>
      <c r="F473" s="5">
        <f t="shared" ref="F473:F536" si="52">G473+H473</f>
        <v>52</v>
      </c>
      <c r="G473" s="6">
        <v>52</v>
      </c>
      <c r="H473" s="8">
        <v>0</v>
      </c>
      <c r="I473" s="1">
        <f t="shared" si="47"/>
        <v>15.6</v>
      </c>
      <c r="J473">
        <f t="shared" si="48"/>
        <v>0</v>
      </c>
      <c r="K473">
        <f t="shared" si="49"/>
        <v>36.4</v>
      </c>
      <c r="L473">
        <f t="shared" si="50"/>
        <v>0</v>
      </c>
    </row>
    <row r="474" spans="1:12" x14ac:dyDescent="0.25">
      <c r="A474" s="1" t="s">
        <v>15</v>
      </c>
      <c r="B474" s="9" t="s">
        <v>1423</v>
      </c>
      <c r="C474" s="3" t="s">
        <v>1424</v>
      </c>
      <c r="D474" s="4" t="s">
        <v>1425</v>
      </c>
      <c r="F474" s="5">
        <f t="shared" si="52"/>
        <v>52</v>
      </c>
      <c r="G474" s="6">
        <v>52</v>
      </c>
      <c r="H474" s="8">
        <v>0</v>
      </c>
      <c r="I474" s="1">
        <f t="shared" si="47"/>
        <v>15.6</v>
      </c>
      <c r="J474">
        <f t="shared" si="48"/>
        <v>0</v>
      </c>
      <c r="K474">
        <f t="shared" si="49"/>
        <v>36.4</v>
      </c>
      <c r="L474">
        <f t="shared" si="50"/>
        <v>0</v>
      </c>
    </row>
    <row r="475" spans="1:12" x14ac:dyDescent="0.25">
      <c r="A475" s="1" t="s">
        <v>15</v>
      </c>
      <c r="B475" s="9" t="s">
        <v>1426</v>
      </c>
      <c r="C475" s="3" t="s">
        <v>1427</v>
      </c>
      <c r="D475" s="4" t="s">
        <v>1428</v>
      </c>
      <c r="F475" s="5">
        <f t="shared" si="52"/>
        <v>52</v>
      </c>
      <c r="G475" s="6">
        <v>52</v>
      </c>
      <c r="H475" s="8">
        <v>0</v>
      </c>
      <c r="I475" s="1">
        <f t="shared" si="47"/>
        <v>15.6</v>
      </c>
      <c r="J475">
        <f t="shared" si="48"/>
        <v>0</v>
      </c>
      <c r="K475">
        <f t="shared" si="49"/>
        <v>36.4</v>
      </c>
      <c r="L475">
        <f t="shared" si="50"/>
        <v>0</v>
      </c>
    </row>
    <row r="476" spans="1:12" x14ac:dyDescent="0.25">
      <c r="A476" s="1" t="s">
        <v>15</v>
      </c>
      <c r="B476" s="9" t="s">
        <v>1429</v>
      </c>
      <c r="C476" s="3" t="s">
        <v>1430</v>
      </c>
      <c r="D476" s="4" t="s">
        <v>1431</v>
      </c>
      <c r="F476" s="5">
        <f t="shared" si="52"/>
        <v>52</v>
      </c>
      <c r="G476" s="6">
        <v>52</v>
      </c>
      <c r="H476" s="8">
        <v>0</v>
      </c>
      <c r="I476" s="1">
        <f t="shared" si="47"/>
        <v>15.6</v>
      </c>
      <c r="J476">
        <f t="shared" si="48"/>
        <v>0</v>
      </c>
      <c r="K476">
        <f t="shared" si="49"/>
        <v>36.4</v>
      </c>
      <c r="L476">
        <f t="shared" si="50"/>
        <v>0</v>
      </c>
    </row>
    <row r="477" spans="1:12" x14ac:dyDescent="0.25">
      <c r="A477" s="1" t="s">
        <v>15</v>
      </c>
      <c r="B477" s="9" t="s">
        <v>1432</v>
      </c>
      <c r="C477" s="3" t="s">
        <v>1433</v>
      </c>
      <c r="D477" s="4" t="s">
        <v>1434</v>
      </c>
      <c r="F477" s="5">
        <f t="shared" si="52"/>
        <v>52</v>
      </c>
      <c r="G477" s="6">
        <v>52</v>
      </c>
      <c r="H477" s="8">
        <v>0</v>
      </c>
      <c r="I477" s="1">
        <f t="shared" si="47"/>
        <v>15.6</v>
      </c>
      <c r="J477">
        <f t="shared" si="48"/>
        <v>0</v>
      </c>
      <c r="K477">
        <f t="shared" si="49"/>
        <v>36.4</v>
      </c>
      <c r="L477">
        <f t="shared" si="50"/>
        <v>0</v>
      </c>
    </row>
    <row r="478" spans="1:12" x14ac:dyDescent="0.25">
      <c r="A478" s="1" t="s">
        <v>15</v>
      </c>
      <c r="B478" s="9" t="s">
        <v>1435</v>
      </c>
      <c r="C478" s="3" t="s">
        <v>1436</v>
      </c>
      <c r="D478" s="4" t="s">
        <v>1437</v>
      </c>
      <c r="F478" s="5">
        <f t="shared" si="52"/>
        <v>52</v>
      </c>
      <c r="G478" s="6">
        <v>52</v>
      </c>
      <c r="H478" s="8">
        <v>0</v>
      </c>
      <c r="I478" s="1">
        <f t="shared" si="47"/>
        <v>15.6</v>
      </c>
      <c r="J478">
        <f t="shared" si="48"/>
        <v>0</v>
      </c>
      <c r="K478">
        <f t="shared" si="49"/>
        <v>36.4</v>
      </c>
      <c r="L478">
        <f t="shared" si="50"/>
        <v>0</v>
      </c>
    </row>
    <row r="479" spans="1:12" x14ac:dyDescent="0.25">
      <c r="A479" s="1" t="s">
        <v>15</v>
      </c>
      <c r="B479" s="18" t="s">
        <v>1438</v>
      </c>
      <c r="C479" s="27" t="s">
        <v>1439</v>
      </c>
      <c r="D479" s="29" t="s">
        <v>1440</v>
      </c>
      <c r="F479" s="21">
        <f t="shared" si="52"/>
        <v>52</v>
      </c>
      <c r="G479" s="22">
        <v>52</v>
      </c>
      <c r="H479" s="23">
        <v>0</v>
      </c>
      <c r="I479" s="1">
        <f t="shared" si="47"/>
        <v>15.6</v>
      </c>
      <c r="J479">
        <f t="shared" si="48"/>
        <v>0</v>
      </c>
      <c r="K479">
        <f t="shared" si="49"/>
        <v>36.4</v>
      </c>
      <c r="L479">
        <f t="shared" si="50"/>
        <v>0</v>
      </c>
    </row>
    <row r="480" spans="1:12" x14ac:dyDescent="0.25">
      <c r="A480" s="1" t="s">
        <v>15</v>
      </c>
      <c r="B480" s="9" t="s">
        <v>1441</v>
      </c>
      <c r="C480" s="3" t="s">
        <v>1442</v>
      </c>
      <c r="D480" s="13" t="s">
        <v>1443</v>
      </c>
      <c r="F480" s="5">
        <f t="shared" si="52"/>
        <v>78</v>
      </c>
      <c r="G480" s="11">
        <v>78</v>
      </c>
      <c r="H480" s="14">
        <v>0</v>
      </c>
      <c r="I480" s="1">
        <f t="shared" si="47"/>
        <v>23.4</v>
      </c>
      <c r="J480">
        <f t="shared" si="48"/>
        <v>0</v>
      </c>
      <c r="K480">
        <f t="shared" si="49"/>
        <v>54.599999999999994</v>
      </c>
      <c r="L480">
        <f t="shared" si="50"/>
        <v>0</v>
      </c>
    </row>
    <row r="481" spans="1:12" x14ac:dyDescent="0.25">
      <c r="A481" s="1" t="s">
        <v>15</v>
      </c>
      <c r="B481" s="9" t="s">
        <v>1444</v>
      </c>
      <c r="C481" s="3" t="s">
        <v>1445</v>
      </c>
      <c r="D481" s="13" t="s">
        <v>1446</v>
      </c>
      <c r="F481" s="5">
        <f t="shared" si="52"/>
        <v>45.5</v>
      </c>
      <c r="G481" s="10">
        <v>45.5</v>
      </c>
      <c r="H481" s="7">
        <v>0</v>
      </c>
      <c r="I481" s="1">
        <f t="shared" si="47"/>
        <v>13.65</v>
      </c>
      <c r="J481">
        <f t="shared" si="48"/>
        <v>0</v>
      </c>
      <c r="K481">
        <f t="shared" si="49"/>
        <v>31.849999999999998</v>
      </c>
      <c r="L481">
        <f t="shared" si="50"/>
        <v>0</v>
      </c>
    </row>
    <row r="482" spans="1:12" x14ac:dyDescent="0.25">
      <c r="A482" s="1" t="s">
        <v>15</v>
      </c>
      <c r="B482" s="9" t="s">
        <v>1447</v>
      </c>
      <c r="C482" s="3" t="s">
        <v>1448</v>
      </c>
      <c r="D482" s="13" t="s">
        <v>1449</v>
      </c>
      <c r="F482" s="5">
        <f t="shared" si="52"/>
        <v>45.5</v>
      </c>
      <c r="G482" s="10">
        <v>45.5</v>
      </c>
      <c r="H482" s="7">
        <v>0</v>
      </c>
      <c r="I482" s="1">
        <f t="shared" si="47"/>
        <v>13.65</v>
      </c>
      <c r="J482">
        <f t="shared" si="48"/>
        <v>0</v>
      </c>
      <c r="K482">
        <f t="shared" si="49"/>
        <v>31.849999999999998</v>
      </c>
      <c r="L482">
        <f t="shared" si="50"/>
        <v>0</v>
      </c>
    </row>
    <row r="483" spans="1:12" x14ac:dyDescent="0.25">
      <c r="A483" s="1" t="s">
        <v>15</v>
      </c>
      <c r="B483" s="9" t="s">
        <v>1450</v>
      </c>
      <c r="C483" s="3" t="s">
        <v>1451</v>
      </c>
      <c r="D483" s="15" t="s">
        <v>1452</v>
      </c>
      <c r="F483" s="5">
        <f t="shared" si="52"/>
        <v>130</v>
      </c>
      <c r="G483" s="10">
        <v>13</v>
      </c>
      <c r="H483" s="7">
        <v>117</v>
      </c>
      <c r="I483" s="1">
        <f t="shared" si="47"/>
        <v>3.9</v>
      </c>
      <c r="J483">
        <f t="shared" si="48"/>
        <v>35.1</v>
      </c>
      <c r="K483">
        <f t="shared" si="49"/>
        <v>9.1</v>
      </c>
      <c r="L483">
        <f t="shared" si="50"/>
        <v>81.899999999999991</v>
      </c>
    </row>
    <row r="484" spans="1:12" x14ac:dyDescent="0.25">
      <c r="A484" s="1" t="s">
        <v>15</v>
      </c>
      <c r="B484" s="9" t="s">
        <v>1453</v>
      </c>
      <c r="C484" s="3" t="s">
        <v>1454</v>
      </c>
      <c r="D484" s="15" t="s">
        <v>1455</v>
      </c>
      <c r="F484" s="5">
        <f t="shared" si="52"/>
        <v>39</v>
      </c>
      <c r="G484" s="10">
        <v>6.5</v>
      </c>
      <c r="H484" s="7">
        <v>32.5</v>
      </c>
      <c r="I484" s="1">
        <f t="shared" si="47"/>
        <v>1.95</v>
      </c>
      <c r="J484">
        <f t="shared" si="48"/>
        <v>9.75</v>
      </c>
      <c r="K484">
        <f t="shared" si="49"/>
        <v>4.55</v>
      </c>
      <c r="L484">
        <f t="shared" si="50"/>
        <v>22.75</v>
      </c>
    </row>
    <row r="485" spans="1:12" x14ac:dyDescent="0.25">
      <c r="A485" s="1" t="s">
        <v>15</v>
      </c>
      <c r="B485" s="9" t="s">
        <v>1456</v>
      </c>
      <c r="C485" s="3" t="s">
        <v>1457</v>
      </c>
      <c r="D485" s="32" t="s">
        <v>1458</v>
      </c>
      <c r="F485" s="5">
        <f t="shared" si="52"/>
        <v>39</v>
      </c>
      <c r="G485" s="6">
        <v>13</v>
      </c>
      <c r="H485" s="8">
        <v>26</v>
      </c>
      <c r="I485" s="1">
        <f t="shared" si="47"/>
        <v>3.9</v>
      </c>
      <c r="J485">
        <f t="shared" si="48"/>
        <v>7.8</v>
      </c>
      <c r="K485">
        <f t="shared" si="49"/>
        <v>9.1</v>
      </c>
      <c r="L485">
        <f t="shared" si="50"/>
        <v>18.2</v>
      </c>
    </row>
    <row r="486" spans="1:12" x14ac:dyDescent="0.25">
      <c r="A486" s="1" t="s">
        <v>15</v>
      </c>
      <c r="B486" s="9" t="s">
        <v>1459</v>
      </c>
      <c r="C486" s="3" t="s">
        <v>1460</v>
      </c>
      <c r="D486" s="32" t="s">
        <v>1461</v>
      </c>
      <c r="F486" s="5">
        <f t="shared" si="52"/>
        <v>39</v>
      </c>
      <c r="G486" s="6">
        <v>13</v>
      </c>
      <c r="H486" s="8">
        <v>26</v>
      </c>
      <c r="I486" s="1">
        <f t="shared" si="47"/>
        <v>3.9</v>
      </c>
      <c r="J486">
        <f t="shared" si="48"/>
        <v>7.8</v>
      </c>
      <c r="K486">
        <f t="shared" si="49"/>
        <v>9.1</v>
      </c>
      <c r="L486">
        <f t="shared" si="50"/>
        <v>18.2</v>
      </c>
    </row>
    <row r="487" spans="1:12" x14ac:dyDescent="0.25">
      <c r="A487" s="1" t="s">
        <v>15</v>
      </c>
      <c r="B487" s="9" t="s">
        <v>1462</v>
      </c>
      <c r="C487" s="3" t="s">
        <v>1463</v>
      </c>
      <c r="D487" s="4" t="s">
        <v>1464</v>
      </c>
      <c r="F487" s="5">
        <f t="shared" si="52"/>
        <v>65</v>
      </c>
      <c r="G487" s="6">
        <v>26</v>
      </c>
      <c r="H487" s="8">
        <v>39</v>
      </c>
      <c r="I487" s="1">
        <f t="shared" si="47"/>
        <v>7.8</v>
      </c>
      <c r="J487">
        <f t="shared" si="48"/>
        <v>11.7</v>
      </c>
      <c r="K487">
        <f t="shared" si="49"/>
        <v>18.2</v>
      </c>
      <c r="L487">
        <f t="shared" si="50"/>
        <v>27.299999999999997</v>
      </c>
    </row>
    <row r="488" spans="1:12" x14ac:dyDescent="0.25">
      <c r="A488" s="1" t="s">
        <v>15</v>
      </c>
      <c r="B488" s="9" t="s">
        <v>1465</v>
      </c>
      <c r="C488" s="3" t="s">
        <v>1466</v>
      </c>
      <c r="D488" s="4" t="s">
        <v>1467</v>
      </c>
      <c r="F488" s="5">
        <f t="shared" si="52"/>
        <v>49.4</v>
      </c>
      <c r="G488" s="6">
        <v>13</v>
      </c>
      <c r="H488" s="8">
        <v>36.4</v>
      </c>
      <c r="I488" s="1">
        <f t="shared" si="47"/>
        <v>3.9</v>
      </c>
      <c r="J488">
        <f t="shared" si="48"/>
        <v>10.92</v>
      </c>
      <c r="K488">
        <f t="shared" si="49"/>
        <v>9.1</v>
      </c>
      <c r="L488">
        <f t="shared" si="50"/>
        <v>25.479999999999997</v>
      </c>
    </row>
    <row r="489" spans="1:12" x14ac:dyDescent="0.25">
      <c r="A489" s="1" t="s">
        <v>15</v>
      </c>
      <c r="B489" s="9" t="s">
        <v>1468</v>
      </c>
      <c r="C489" s="3" t="s">
        <v>1469</v>
      </c>
      <c r="D489" s="4" t="s">
        <v>1470</v>
      </c>
      <c r="F489" s="5">
        <f t="shared" si="52"/>
        <v>93.600000000000009</v>
      </c>
      <c r="G489" s="6">
        <v>31.200000000000003</v>
      </c>
      <c r="H489" s="8">
        <v>62.400000000000006</v>
      </c>
      <c r="I489" s="1">
        <f t="shared" si="47"/>
        <v>9.3600000000000012</v>
      </c>
      <c r="J489">
        <f t="shared" si="48"/>
        <v>18.720000000000002</v>
      </c>
      <c r="K489">
        <f t="shared" si="49"/>
        <v>21.84</v>
      </c>
      <c r="L489">
        <f t="shared" si="50"/>
        <v>43.68</v>
      </c>
    </row>
    <row r="490" spans="1:12" x14ac:dyDescent="0.25">
      <c r="A490" s="1" t="s">
        <v>15</v>
      </c>
      <c r="B490" s="9" t="s">
        <v>1471</v>
      </c>
      <c r="C490" s="3" t="s">
        <v>1472</v>
      </c>
      <c r="D490" s="4" t="s">
        <v>1473</v>
      </c>
      <c r="F490" s="5">
        <f t="shared" si="52"/>
        <v>55.900000000000006</v>
      </c>
      <c r="G490" s="6">
        <v>23.400000000000002</v>
      </c>
      <c r="H490" s="8">
        <v>32.5</v>
      </c>
      <c r="I490" s="1">
        <f t="shared" si="47"/>
        <v>7.0200000000000005</v>
      </c>
      <c r="J490">
        <f t="shared" si="48"/>
        <v>9.75</v>
      </c>
      <c r="K490">
        <f t="shared" si="49"/>
        <v>16.38</v>
      </c>
      <c r="L490">
        <f t="shared" si="50"/>
        <v>22.75</v>
      </c>
    </row>
    <row r="491" spans="1:12" x14ac:dyDescent="0.25">
      <c r="A491" s="1" t="s">
        <v>15</v>
      </c>
      <c r="B491" s="9" t="s">
        <v>1474</v>
      </c>
      <c r="C491" s="3" t="s">
        <v>1475</v>
      </c>
      <c r="D491" s="4" t="s">
        <v>1476</v>
      </c>
      <c r="F491" s="5">
        <f t="shared" si="52"/>
        <v>72.800000000000011</v>
      </c>
      <c r="G491" s="6">
        <v>33.800000000000004</v>
      </c>
      <c r="H491" s="8">
        <v>39</v>
      </c>
      <c r="I491" s="1">
        <f t="shared" si="47"/>
        <v>10.14</v>
      </c>
      <c r="J491">
        <f t="shared" si="48"/>
        <v>11.7</v>
      </c>
      <c r="K491">
        <f t="shared" si="49"/>
        <v>23.66</v>
      </c>
      <c r="L491">
        <f t="shared" si="50"/>
        <v>27.299999999999997</v>
      </c>
    </row>
    <row r="492" spans="1:12" x14ac:dyDescent="0.25">
      <c r="A492" s="1" t="s">
        <v>15</v>
      </c>
      <c r="B492" s="9" t="s">
        <v>1477</v>
      </c>
      <c r="C492" s="3" t="s">
        <v>1478</v>
      </c>
      <c r="D492" s="32" t="s">
        <v>1479</v>
      </c>
      <c r="F492" s="5">
        <f t="shared" si="52"/>
        <v>72.800000000000011</v>
      </c>
      <c r="G492" s="6">
        <v>33.800000000000004</v>
      </c>
      <c r="H492" s="8">
        <v>39</v>
      </c>
      <c r="I492" s="1">
        <f t="shared" si="47"/>
        <v>10.14</v>
      </c>
      <c r="J492">
        <f t="shared" si="48"/>
        <v>11.7</v>
      </c>
      <c r="K492">
        <f t="shared" si="49"/>
        <v>23.66</v>
      </c>
      <c r="L492">
        <f t="shared" si="50"/>
        <v>27.299999999999997</v>
      </c>
    </row>
    <row r="493" spans="1:12" x14ac:dyDescent="0.25">
      <c r="A493" s="1" t="s">
        <v>15</v>
      </c>
      <c r="B493" s="9" t="s">
        <v>1480</v>
      </c>
      <c r="C493" s="3" t="s">
        <v>1481</v>
      </c>
      <c r="D493" s="4" t="s">
        <v>1482</v>
      </c>
      <c r="F493" s="5">
        <f t="shared" si="52"/>
        <v>72.800000000000011</v>
      </c>
      <c r="G493" s="6">
        <v>33.800000000000004</v>
      </c>
      <c r="H493" s="8">
        <v>39</v>
      </c>
      <c r="I493" s="1">
        <f t="shared" si="47"/>
        <v>10.14</v>
      </c>
      <c r="J493">
        <f t="shared" si="48"/>
        <v>11.7</v>
      </c>
      <c r="K493">
        <f t="shared" si="49"/>
        <v>23.66</v>
      </c>
      <c r="L493">
        <f t="shared" si="50"/>
        <v>27.299999999999997</v>
      </c>
    </row>
    <row r="494" spans="1:12" x14ac:dyDescent="0.25">
      <c r="A494" s="1" t="s">
        <v>15</v>
      </c>
      <c r="B494" s="9" t="s">
        <v>1483</v>
      </c>
      <c r="C494" s="3" t="s">
        <v>1484</v>
      </c>
      <c r="D494" s="32" t="s">
        <v>1485</v>
      </c>
      <c r="F494" s="5">
        <f t="shared" si="52"/>
        <v>72.800000000000011</v>
      </c>
      <c r="G494" s="6">
        <v>33.800000000000004</v>
      </c>
      <c r="H494" s="8">
        <v>39</v>
      </c>
      <c r="I494" s="1">
        <f t="shared" si="47"/>
        <v>10.14</v>
      </c>
      <c r="J494">
        <f t="shared" si="48"/>
        <v>11.7</v>
      </c>
      <c r="K494">
        <f t="shared" si="49"/>
        <v>23.66</v>
      </c>
      <c r="L494">
        <f t="shared" si="50"/>
        <v>27.299999999999997</v>
      </c>
    </row>
    <row r="495" spans="1:12" x14ac:dyDescent="0.25">
      <c r="A495" s="1" t="s">
        <v>15</v>
      </c>
      <c r="B495" s="9" t="s">
        <v>1486</v>
      </c>
      <c r="C495" s="3" t="s">
        <v>1487</v>
      </c>
      <c r="D495" s="4" t="s">
        <v>1488</v>
      </c>
      <c r="F495" s="5">
        <f t="shared" si="52"/>
        <v>67.599999999999994</v>
      </c>
      <c r="G495" s="6">
        <v>28.6</v>
      </c>
      <c r="H495" s="8">
        <v>39</v>
      </c>
      <c r="I495" s="1">
        <f t="shared" si="47"/>
        <v>8.58</v>
      </c>
      <c r="J495">
        <f t="shared" si="48"/>
        <v>11.7</v>
      </c>
      <c r="K495">
        <f t="shared" si="49"/>
        <v>20.02</v>
      </c>
      <c r="L495">
        <f t="shared" si="50"/>
        <v>27.299999999999997</v>
      </c>
    </row>
    <row r="496" spans="1:12" x14ac:dyDescent="0.25">
      <c r="A496" s="1" t="s">
        <v>15</v>
      </c>
      <c r="B496" s="9" t="s">
        <v>1489</v>
      </c>
      <c r="C496" s="3" t="s">
        <v>1490</v>
      </c>
      <c r="D496" s="4" t="s">
        <v>1491</v>
      </c>
      <c r="F496" s="5">
        <f t="shared" si="52"/>
        <v>67.599999999999994</v>
      </c>
      <c r="G496" s="6">
        <v>28.6</v>
      </c>
      <c r="H496" s="8">
        <v>39</v>
      </c>
      <c r="I496" s="1">
        <f t="shared" si="47"/>
        <v>8.58</v>
      </c>
      <c r="J496">
        <f t="shared" si="48"/>
        <v>11.7</v>
      </c>
      <c r="K496">
        <f t="shared" si="49"/>
        <v>20.02</v>
      </c>
      <c r="L496">
        <f t="shared" si="50"/>
        <v>27.299999999999997</v>
      </c>
    </row>
    <row r="497" spans="1:12" x14ac:dyDescent="0.25">
      <c r="A497" s="1" t="s">
        <v>15</v>
      </c>
      <c r="B497" s="9" t="s">
        <v>1492</v>
      </c>
      <c r="C497" s="3" t="s">
        <v>1493</v>
      </c>
      <c r="D497" s="4" t="s">
        <v>1494</v>
      </c>
      <c r="F497" s="5">
        <f t="shared" si="52"/>
        <v>67.599999999999994</v>
      </c>
      <c r="G497" s="6">
        <v>28.6</v>
      </c>
      <c r="H497" s="8">
        <v>39</v>
      </c>
      <c r="I497" s="1">
        <f t="shared" si="47"/>
        <v>8.58</v>
      </c>
      <c r="J497">
        <f t="shared" si="48"/>
        <v>11.7</v>
      </c>
      <c r="K497">
        <f t="shared" si="49"/>
        <v>20.02</v>
      </c>
      <c r="L497">
        <f t="shared" si="50"/>
        <v>27.299999999999997</v>
      </c>
    </row>
    <row r="498" spans="1:12" x14ac:dyDescent="0.25">
      <c r="A498" s="1" t="s">
        <v>15</v>
      </c>
      <c r="B498" s="9" t="s">
        <v>1495</v>
      </c>
      <c r="C498" s="3" t="s">
        <v>1496</v>
      </c>
      <c r="D498" s="4" t="s">
        <v>1497</v>
      </c>
      <c r="F498" s="5">
        <f t="shared" si="52"/>
        <v>67.599999999999994</v>
      </c>
      <c r="G498" s="6">
        <v>28.6</v>
      </c>
      <c r="H498" s="8">
        <v>39</v>
      </c>
      <c r="I498" s="1">
        <f t="shared" si="47"/>
        <v>8.58</v>
      </c>
      <c r="J498">
        <f t="shared" si="48"/>
        <v>11.7</v>
      </c>
      <c r="K498">
        <f t="shared" si="49"/>
        <v>20.02</v>
      </c>
      <c r="L498">
        <f t="shared" si="50"/>
        <v>27.299999999999997</v>
      </c>
    </row>
    <row r="499" spans="1:12" x14ac:dyDescent="0.25">
      <c r="A499" s="1" t="s">
        <v>15</v>
      </c>
      <c r="B499" s="9" t="s">
        <v>1498</v>
      </c>
      <c r="C499" s="3" t="s">
        <v>1499</v>
      </c>
      <c r="D499" s="4" t="s">
        <v>1500</v>
      </c>
      <c r="F499" s="5">
        <f t="shared" si="52"/>
        <v>67.600000000000009</v>
      </c>
      <c r="G499" s="6">
        <v>23.400000000000002</v>
      </c>
      <c r="H499" s="8">
        <v>44.2</v>
      </c>
      <c r="I499" s="1">
        <f t="shared" si="47"/>
        <v>7.0200000000000005</v>
      </c>
      <c r="J499">
        <f t="shared" si="48"/>
        <v>13.26</v>
      </c>
      <c r="K499">
        <f t="shared" si="49"/>
        <v>16.38</v>
      </c>
      <c r="L499">
        <f t="shared" si="50"/>
        <v>30.94</v>
      </c>
    </row>
    <row r="500" spans="1:12" x14ac:dyDescent="0.25">
      <c r="A500" s="1" t="s">
        <v>15</v>
      </c>
      <c r="B500" s="9" t="s">
        <v>1501</v>
      </c>
      <c r="C500" s="3" t="s">
        <v>1502</v>
      </c>
      <c r="D500" s="4" t="s">
        <v>1503</v>
      </c>
      <c r="F500" s="5">
        <f t="shared" si="52"/>
        <v>57.2</v>
      </c>
      <c r="G500" s="10">
        <v>15.600000000000001</v>
      </c>
      <c r="H500" s="7">
        <v>41.6</v>
      </c>
      <c r="I500" s="1">
        <f t="shared" si="47"/>
        <v>4.6800000000000006</v>
      </c>
      <c r="J500">
        <f t="shared" si="48"/>
        <v>12.48</v>
      </c>
      <c r="K500">
        <f t="shared" si="49"/>
        <v>10.92</v>
      </c>
      <c r="L500">
        <f t="shared" si="50"/>
        <v>29.119999999999997</v>
      </c>
    </row>
    <row r="501" spans="1:12" x14ac:dyDescent="0.25">
      <c r="A501" s="1" t="s">
        <v>15</v>
      </c>
      <c r="B501" s="9" t="s">
        <v>1504</v>
      </c>
      <c r="C501" s="3" t="s">
        <v>1505</v>
      </c>
      <c r="D501" s="4" t="s">
        <v>1506</v>
      </c>
      <c r="F501" s="5">
        <f t="shared" si="52"/>
        <v>55.900000000000006</v>
      </c>
      <c r="G501" s="10">
        <v>23.400000000000002</v>
      </c>
      <c r="H501" s="7">
        <v>32.5</v>
      </c>
      <c r="I501" s="1">
        <f t="shared" si="47"/>
        <v>7.0200000000000005</v>
      </c>
      <c r="J501">
        <f t="shared" si="48"/>
        <v>9.75</v>
      </c>
      <c r="K501">
        <f t="shared" si="49"/>
        <v>16.38</v>
      </c>
      <c r="L501">
        <f t="shared" si="50"/>
        <v>22.75</v>
      </c>
    </row>
    <row r="502" spans="1:12" x14ac:dyDescent="0.25">
      <c r="A502" s="1" t="s">
        <v>15</v>
      </c>
      <c r="B502" s="9" t="s">
        <v>1507</v>
      </c>
      <c r="C502" s="3" t="s">
        <v>1508</v>
      </c>
      <c r="D502" s="4" t="s">
        <v>1509</v>
      </c>
      <c r="F502" s="5">
        <f>G502+H502</f>
        <v>75.400000000000006</v>
      </c>
      <c r="G502" s="10">
        <v>19.5</v>
      </c>
      <c r="H502" s="7">
        <v>55.9</v>
      </c>
      <c r="I502" s="1">
        <f t="shared" si="47"/>
        <v>5.85</v>
      </c>
      <c r="J502">
        <f t="shared" si="48"/>
        <v>16.77</v>
      </c>
      <c r="K502">
        <f t="shared" si="49"/>
        <v>13.649999999999999</v>
      </c>
      <c r="L502">
        <f t="shared" si="50"/>
        <v>39.129999999999995</v>
      </c>
    </row>
    <row r="503" spans="1:12" x14ac:dyDescent="0.25">
      <c r="A503" s="1" t="s">
        <v>15</v>
      </c>
      <c r="B503" s="9" t="s">
        <v>1510</v>
      </c>
      <c r="C503" s="3" t="s">
        <v>1511</v>
      </c>
      <c r="D503" s="4" t="s">
        <v>1512</v>
      </c>
      <c r="F503" s="5">
        <f t="shared" si="52"/>
        <v>45.5</v>
      </c>
      <c r="G503" s="10">
        <v>13</v>
      </c>
      <c r="H503" s="7">
        <v>32.5</v>
      </c>
      <c r="I503" s="1">
        <f t="shared" si="47"/>
        <v>3.9</v>
      </c>
      <c r="J503">
        <f t="shared" si="48"/>
        <v>9.75</v>
      </c>
      <c r="K503">
        <f t="shared" si="49"/>
        <v>9.1</v>
      </c>
      <c r="L503">
        <f t="shared" si="50"/>
        <v>22.75</v>
      </c>
    </row>
    <row r="504" spans="1:12" x14ac:dyDescent="0.25">
      <c r="A504" s="1" t="s">
        <v>15</v>
      </c>
      <c r="B504" s="9" t="s">
        <v>1513</v>
      </c>
      <c r="C504" s="3" t="s">
        <v>1514</v>
      </c>
      <c r="D504" s="4" t="s">
        <v>1515</v>
      </c>
      <c r="F504" s="5">
        <f t="shared" si="52"/>
        <v>45.5</v>
      </c>
      <c r="G504" s="10">
        <v>13</v>
      </c>
      <c r="H504" s="7">
        <v>32.5</v>
      </c>
      <c r="I504" s="1">
        <f t="shared" si="47"/>
        <v>3.9</v>
      </c>
      <c r="J504">
        <f t="shared" si="48"/>
        <v>9.75</v>
      </c>
      <c r="K504">
        <f t="shared" si="49"/>
        <v>9.1</v>
      </c>
      <c r="L504">
        <f t="shared" si="50"/>
        <v>22.75</v>
      </c>
    </row>
    <row r="505" spans="1:12" x14ac:dyDescent="0.25">
      <c r="A505" s="1" t="s">
        <v>15</v>
      </c>
      <c r="B505" s="9" t="s">
        <v>1516</v>
      </c>
      <c r="C505" s="3" t="s">
        <v>1517</v>
      </c>
      <c r="D505" s="4" t="s">
        <v>1518</v>
      </c>
      <c r="F505" s="5">
        <f>G505+H505</f>
        <v>39</v>
      </c>
      <c r="G505" s="10">
        <v>13</v>
      </c>
      <c r="H505" s="7">
        <v>26</v>
      </c>
      <c r="I505" s="1">
        <f t="shared" si="47"/>
        <v>3.9</v>
      </c>
      <c r="J505">
        <f t="shared" si="48"/>
        <v>7.8</v>
      </c>
      <c r="K505">
        <f t="shared" si="49"/>
        <v>9.1</v>
      </c>
      <c r="L505">
        <f t="shared" si="50"/>
        <v>18.2</v>
      </c>
    </row>
    <row r="506" spans="1:12" x14ac:dyDescent="0.25">
      <c r="A506" s="1" t="s">
        <v>15</v>
      </c>
      <c r="B506" s="9" t="s">
        <v>1519</v>
      </c>
      <c r="C506" s="3" t="s">
        <v>1520</v>
      </c>
      <c r="D506" s="4" t="s">
        <v>1521</v>
      </c>
      <c r="F506" s="5">
        <f t="shared" si="52"/>
        <v>72.800000000000011</v>
      </c>
      <c r="G506" s="10">
        <v>3.9000000000000004</v>
      </c>
      <c r="H506" s="7">
        <v>68.900000000000006</v>
      </c>
      <c r="I506" s="1">
        <f t="shared" si="47"/>
        <v>1.1700000000000002</v>
      </c>
      <c r="J506">
        <f t="shared" si="48"/>
        <v>20.67</v>
      </c>
      <c r="K506">
        <f t="shared" si="49"/>
        <v>2.73</v>
      </c>
      <c r="L506">
        <f t="shared" si="50"/>
        <v>48.230000000000004</v>
      </c>
    </row>
    <row r="507" spans="1:12" x14ac:dyDescent="0.25">
      <c r="A507" s="1" t="s">
        <v>15</v>
      </c>
      <c r="B507" s="9" t="s">
        <v>1522</v>
      </c>
      <c r="C507" s="3" t="s">
        <v>1523</v>
      </c>
      <c r="D507" s="4" t="s">
        <v>1524</v>
      </c>
      <c r="F507" s="5">
        <f>G507+H507</f>
        <v>65</v>
      </c>
      <c r="G507" s="10">
        <v>19.5</v>
      </c>
      <c r="H507" s="7">
        <v>45.5</v>
      </c>
      <c r="I507" s="1">
        <f t="shared" si="47"/>
        <v>5.85</v>
      </c>
      <c r="J507">
        <f t="shared" si="48"/>
        <v>13.65</v>
      </c>
      <c r="K507">
        <f t="shared" si="49"/>
        <v>13.649999999999999</v>
      </c>
      <c r="L507">
        <f t="shared" si="50"/>
        <v>31.849999999999998</v>
      </c>
    </row>
    <row r="508" spans="1:12" x14ac:dyDescent="0.25">
      <c r="A508" s="1" t="s">
        <v>15</v>
      </c>
      <c r="B508" s="9" t="s">
        <v>1525</v>
      </c>
      <c r="C508" s="3" t="s">
        <v>1526</v>
      </c>
      <c r="D508" s="4" t="s">
        <v>1527</v>
      </c>
      <c r="F508" s="5">
        <f>G508+H508</f>
        <v>65</v>
      </c>
      <c r="G508" s="10">
        <v>19.5</v>
      </c>
      <c r="H508" s="7">
        <v>45.5</v>
      </c>
      <c r="I508" s="1">
        <f t="shared" si="47"/>
        <v>5.85</v>
      </c>
      <c r="J508">
        <f t="shared" si="48"/>
        <v>13.65</v>
      </c>
      <c r="K508">
        <f t="shared" si="49"/>
        <v>13.649999999999999</v>
      </c>
      <c r="L508">
        <f t="shared" si="50"/>
        <v>31.849999999999998</v>
      </c>
    </row>
    <row r="509" spans="1:12" x14ac:dyDescent="0.25">
      <c r="A509" s="1" t="s">
        <v>15</v>
      </c>
      <c r="B509" s="9" t="s">
        <v>1528</v>
      </c>
      <c r="C509" s="3" t="s">
        <v>1529</v>
      </c>
      <c r="D509" s="4" t="s">
        <v>1530</v>
      </c>
      <c r="F509" s="5">
        <f t="shared" si="52"/>
        <v>24.700000000000003</v>
      </c>
      <c r="G509" s="10">
        <v>3.9000000000000004</v>
      </c>
      <c r="H509" s="7">
        <v>20.8</v>
      </c>
      <c r="I509" s="1">
        <f t="shared" si="47"/>
        <v>1.1700000000000002</v>
      </c>
      <c r="J509">
        <f t="shared" si="48"/>
        <v>6.24</v>
      </c>
      <c r="K509">
        <f t="shared" si="49"/>
        <v>2.73</v>
      </c>
      <c r="L509">
        <f t="shared" si="50"/>
        <v>14.559999999999999</v>
      </c>
    </row>
    <row r="510" spans="1:12" x14ac:dyDescent="0.25">
      <c r="A510" s="1" t="s">
        <v>15</v>
      </c>
      <c r="B510" s="9" t="s">
        <v>1531</v>
      </c>
      <c r="C510" s="3" t="s">
        <v>1532</v>
      </c>
      <c r="D510" s="4" t="s">
        <v>1533</v>
      </c>
      <c r="F510" s="5">
        <f t="shared" si="52"/>
        <v>37.700000000000003</v>
      </c>
      <c r="G510" s="10">
        <v>3.9000000000000004</v>
      </c>
      <c r="H510" s="7">
        <v>33.800000000000004</v>
      </c>
      <c r="I510" s="1">
        <f t="shared" si="47"/>
        <v>1.1700000000000002</v>
      </c>
      <c r="J510">
        <f t="shared" si="48"/>
        <v>10.14</v>
      </c>
      <c r="K510">
        <f t="shared" si="49"/>
        <v>2.73</v>
      </c>
      <c r="L510">
        <f t="shared" si="50"/>
        <v>23.66</v>
      </c>
    </row>
    <row r="511" spans="1:12" x14ac:dyDescent="0.25">
      <c r="A511" s="1" t="s">
        <v>15</v>
      </c>
      <c r="B511" s="9" t="s">
        <v>1534</v>
      </c>
      <c r="C511" s="3" t="s">
        <v>1535</v>
      </c>
      <c r="D511" s="4" t="s">
        <v>1536</v>
      </c>
      <c r="F511" s="5">
        <f t="shared" si="52"/>
        <v>55.900000000000006</v>
      </c>
      <c r="G511" s="10">
        <v>23.400000000000002</v>
      </c>
      <c r="H511" s="7">
        <v>32.5</v>
      </c>
      <c r="I511" s="1">
        <f t="shared" si="47"/>
        <v>7.0200000000000005</v>
      </c>
      <c r="J511">
        <f t="shared" si="48"/>
        <v>9.75</v>
      </c>
      <c r="K511">
        <f t="shared" si="49"/>
        <v>16.38</v>
      </c>
      <c r="L511">
        <f t="shared" si="50"/>
        <v>22.75</v>
      </c>
    </row>
    <row r="512" spans="1:12" x14ac:dyDescent="0.25">
      <c r="A512" s="1" t="s">
        <v>15</v>
      </c>
      <c r="B512" s="9" t="s">
        <v>1537</v>
      </c>
      <c r="C512" s="3" t="s">
        <v>1538</v>
      </c>
      <c r="D512" s="4" t="s">
        <v>1539</v>
      </c>
      <c r="F512" s="5">
        <f t="shared" si="52"/>
        <v>45.5</v>
      </c>
      <c r="G512" s="10">
        <v>13</v>
      </c>
      <c r="H512" s="7">
        <v>32.5</v>
      </c>
      <c r="I512" s="1">
        <f t="shared" si="47"/>
        <v>3.9</v>
      </c>
      <c r="J512">
        <f t="shared" si="48"/>
        <v>9.75</v>
      </c>
      <c r="K512">
        <f t="shared" si="49"/>
        <v>9.1</v>
      </c>
      <c r="L512">
        <f t="shared" si="50"/>
        <v>22.75</v>
      </c>
    </row>
    <row r="513" spans="1:12" x14ac:dyDescent="0.25">
      <c r="A513" s="1" t="s">
        <v>15</v>
      </c>
      <c r="B513" s="9" t="s">
        <v>1540</v>
      </c>
      <c r="C513" s="3" t="s">
        <v>1541</v>
      </c>
      <c r="D513" s="4" t="s">
        <v>1542</v>
      </c>
      <c r="F513" s="5">
        <f t="shared" si="52"/>
        <v>45.5</v>
      </c>
      <c r="G513" s="10">
        <v>13</v>
      </c>
      <c r="H513" s="7">
        <v>32.5</v>
      </c>
      <c r="I513" s="1">
        <f t="shared" si="47"/>
        <v>3.9</v>
      </c>
      <c r="J513">
        <f t="shared" si="48"/>
        <v>9.75</v>
      </c>
      <c r="K513">
        <f t="shared" si="49"/>
        <v>9.1</v>
      </c>
      <c r="L513">
        <f t="shared" si="50"/>
        <v>22.75</v>
      </c>
    </row>
    <row r="514" spans="1:12" x14ac:dyDescent="0.25">
      <c r="A514" s="1" t="s">
        <v>15</v>
      </c>
      <c r="B514" s="9" t="s">
        <v>1543</v>
      </c>
      <c r="C514" s="3" t="s">
        <v>1544</v>
      </c>
      <c r="D514" s="4" t="s">
        <v>1545</v>
      </c>
      <c r="F514" s="5">
        <f t="shared" si="52"/>
        <v>45.5</v>
      </c>
      <c r="G514" s="10">
        <v>13</v>
      </c>
      <c r="H514" s="7">
        <v>32.5</v>
      </c>
      <c r="I514" s="1">
        <f t="shared" si="47"/>
        <v>3.9</v>
      </c>
      <c r="J514">
        <f t="shared" si="48"/>
        <v>9.75</v>
      </c>
      <c r="K514">
        <f t="shared" si="49"/>
        <v>9.1</v>
      </c>
      <c r="L514">
        <f t="shared" si="50"/>
        <v>22.75</v>
      </c>
    </row>
    <row r="515" spans="1:12" x14ac:dyDescent="0.25">
      <c r="A515" s="1" t="s">
        <v>15</v>
      </c>
      <c r="B515" s="9" t="s">
        <v>1546</v>
      </c>
      <c r="C515" s="3" t="s">
        <v>1547</v>
      </c>
      <c r="D515" s="4" t="s">
        <v>1548</v>
      </c>
      <c r="F515" s="5">
        <f t="shared" si="52"/>
        <v>81.900000000000006</v>
      </c>
      <c r="G515" s="10">
        <v>23.400000000000002</v>
      </c>
      <c r="H515" s="7">
        <v>58.5</v>
      </c>
      <c r="I515" s="1">
        <f t="shared" si="47"/>
        <v>7.0200000000000005</v>
      </c>
      <c r="J515">
        <f t="shared" si="48"/>
        <v>17.55</v>
      </c>
      <c r="K515">
        <f t="shared" si="49"/>
        <v>16.38</v>
      </c>
      <c r="L515">
        <f t="shared" si="50"/>
        <v>40.949999999999996</v>
      </c>
    </row>
    <row r="516" spans="1:12" x14ac:dyDescent="0.25">
      <c r="A516" s="1" t="s">
        <v>15</v>
      </c>
      <c r="B516" s="9" t="s">
        <v>1549</v>
      </c>
      <c r="C516" s="3" t="s">
        <v>1550</v>
      </c>
      <c r="D516" s="4" t="s">
        <v>1551</v>
      </c>
      <c r="F516" s="5">
        <f t="shared" si="52"/>
        <v>45.5</v>
      </c>
      <c r="G516" s="10">
        <v>13</v>
      </c>
      <c r="H516" s="7">
        <v>32.5</v>
      </c>
      <c r="I516" s="1">
        <f t="shared" ref="I516:I579" si="53">G516*0.3</f>
        <v>3.9</v>
      </c>
      <c r="J516">
        <f t="shared" ref="J516:J579" si="54">H516*0.3</f>
        <v>9.75</v>
      </c>
      <c r="K516">
        <f t="shared" ref="K516:K579" si="55">G516*0.7</f>
        <v>9.1</v>
      </c>
      <c r="L516">
        <f t="shared" ref="L516:L579" si="56">H516*0.7</f>
        <v>22.75</v>
      </c>
    </row>
    <row r="517" spans="1:12" x14ac:dyDescent="0.25">
      <c r="A517" s="1" t="s">
        <v>15</v>
      </c>
      <c r="B517" s="9" t="s">
        <v>1552</v>
      </c>
      <c r="C517" s="3" t="s">
        <v>1553</v>
      </c>
      <c r="D517" s="4" t="s">
        <v>1554</v>
      </c>
      <c r="F517" s="5">
        <f t="shared" si="52"/>
        <v>27.3</v>
      </c>
      <c r="G517" s="10">
        <v>7.8000000000000007</v>
      </c>
      <c r="H517" s="7">
        <v>19.5</v>
      </c>
      <c r="I517" s="1">
        <f t="shared" si="53"/>
        <v>2.3400000000000003</v>
      </c>
      <c r="J517">
        <f t="shared" si="54"/>
        <v>5.85</v>
      </c>
      <c r="K517">
        <f t="shared" si="55"/>
        <v>5.46</v>
      </c>
      <c r="L517">
        <f t="shared" si="56"/>
        <v>13.649999999999999</v>
      </c>
    </row>
    <row r="518" spans="1:12" x14ac:dyDescent="0.25">
      <c r="A518" s="1" t="s">
        <v>15</v>
      </c>
      <c r="B518" s="9" t="s">
        <v>1555</v>
      </c>
      <c r="C518" s="3" t="s">
        <v>1556</v>
      </c>
      <c r="D518" s="4" t="s">
        <v>1557</v>
      </c>
      <c r="F518" s="5">
        <f t="shared" si="52"/>
        <v>84.5</v>
      </c>
      <c r="G518" s="10">
        <v>26</v>
      </c>
      <c r="H518" s="7">
        <v>58.5</v>
      </c>
      <c r="I518" s="1">
        <f t="shared" si="53"/>
        <v>7.8</v>
      </c>
      <c r="J518">
        <f t="shared" si="54"/>
        <v>17.55</v>
      </c>
      <c r="K518">
        <f t="shared" si="55"/>
        <v>18.2</v>
      </c>
      <c r="L518">
        <f t="shared" si="56"/>
        <v>40.949999999999996</v>
      </c>
    </row>
    <row r="519" spans="1:12" x14ac:dyDescent="0.25">
      <c r="A519" s="1" t="s">
        <v>15</v>
      </c>
      <c r="B519" s="9" t="s">
        <v>1558</v>
      </c>
      <c r="C519" s="3" t="s">
        <v>1559</v>
      </c>
      <c r="D519" s="4" t="s">
        <v>1560</v>
      </c>
      <c r="F519" s="5">
        <f t="shared" si="52"/>
        <v>84.5</v>
      </c>
      <c r="G519" s="10">
        <v>26</v>
      </c>
      <c r="H519" s="7">
        <v>58.5</v>
      </c>
      <c r="I519" s="1">
        <f t="shared" si="53"/>
        <v>7.8</v>
      </c>
      <c r="J519">
        <f t="shared" si="54"/>
        <v>17.55</v>
      </c>
      <c r="K519">
        <f t="shared" si="55"/>
        <v>18.2</v>
      </c>
      <c r="L519">
        <f t="shared" si="56"/>
        <v>40.949999999999996</v>
      </c>
    </row>
    <row r="520" spans="1:12" x14ac:dyDescent="0.25">
      <c r="A520" s="1" t="s">
        <v>15</v>
      </c>
      <c r="B520" s="9" t="s">
        <v>1561</v>
      </c>
      <c r="C520" s="3" t="s">
        <v>1562</v>
      </c>
      <c r="D520" s="4" t="s">
        <v>1563</v>
      </c>
      <c r="F520" s="5">
        <f t="shared" si="52"/>
        <v>32.5</v>
      </c>
      <c r="G520" s="10">
        <v>6.5</v>
      </c>
      <c r="H520" s="7">
        <v>26</v>
      </c>
      <c r="I520" s="1">
        <f t="shared" si="53"/>
        <v>1.95</v>
      </c>
      <c r="J520">
        <f t="shared" si="54"/>
        <v>7.8</v>
      </c>
      <c r="K520">
        <f t="shared" si="55"/>
        <v>4.55</v>
      </c>
      <c r="L520">
        <f t="shared" si="56"/>
        <v>18.2</v>
      </c>
    </row>
    <row r="521" spans="1:12" x14ac:dyDescent="0.25">
      <c r="A521" s="1" t="s">
        <v>15</v>
      </c>
      <c r="B521" s="9" t="s">
        <v>1564</v>
      </c>
      <c r="C521" s="3" t="s">
        <v>1565</v>
      </c>
      <c r="D521" s="4" t="s">
        <v>1566</v>
      </c>
      <c r="F521" s="5">
        <f t="shared" si="52"/>
        <v>32.5</v>
      </c>
      <c r="G521" s="10">
        <v>6.5</v>
      </c>
      <c r="H521" s="7">
        <v>26</v>
      </c>
      <c r="I521" s="1">
        <f t="shared" si="53"/>
        <v>1.95</v>
      </c>
      <c r="J521">
        <f t="shared" si="54"/>
        <v>7.8</v>
      </c>
      <c r="K521">
        <f t="shared" si="55"/>
        <v>4.55</v>
      </c>
      <c r="L521">
        <f t="shared" si="56"/>
        <v>18.2</v>
      </c>
    </row>
    <row r="522" spans="1:12" x14ac:dyDescent="0.25">
      <c r="A522" s="1" t="s">
        <v>15</v>
      </c>
      <c r="B522" s="9" t="s">
        <v>1567</v>
      </c>
      <c r="C522" s="3" t="s">
        <v>1568</v>
      </c>
      <c r="D522" s="4" t="s">
        <v>1569</v>
      </c>
      <c r="F522" s="5">
        <f t="shared" si="52"/>
        <v>32.5</v>
      </c>
      <c r="G522" s="10">
        <v>6.5</v>
      </c>
      <c r="H522" s="7">
        <v>26</v>
      </c>
      <c r="I522" s="1">
        <f t="shared" si="53"/>
        <v>1.95</v>
      </c>
      <c r="J522">
        <f t="shared" si="54"/>
        <v>7.8</v>
      </c>
      <c r="K522">
        <f t="shared" si="55"/>
        <v>4.55</v>
      </c>
      <c r="L522">
        <f t="shared" si="56"/>
        <v>18.2</v>
      </c>
    </row>
    <row r="523" spans="1:12" x14ac:dyDescent="0.25">
      <c r="A523" s="1" t="s">
        <v>15</v>
      </c>
      <c r="B523" s="9" t="s">
        <v>1570</v>
      </c>
      <c r="C523" s="3" t="s">
        <v>1571</v>
      </c>
      <c r="D523" s="4" t="s">
        <v>1572</v>
      </c>
      <c r="F523" s="5">
        <f t="shared" si="52"/>
        <v>101.4</v>
      </c>
      <c r="G523" s="6">
        <v>19.5</v>
      </c>
      <c r="H523" s="8">
        <v>81.900000000000006</v>
      </c>
      <c r="I523" s="1">
        <f t="shared" si="53"/>
        <v>5.85</v>
      </c>
      <c r="J523">
        <f t="shared" si="54"/>
        <v>24.57</v>
      </c>
      <c r="K523">
        <f t="shared" si="55"/>
        <v>13.649999999999999</v>
      </c>
      <c r="L523">
        <f t="shared" si="56"/>
        <v>57.33</v>
      </c>
    </row>
    <row r="524" spans="1:12" x14ac:dyDescent="0.25">
      <c r="A524" s="1" t="s">
        <v>15</v>
      </c>
      <c r="B524" s="9" t="s">
        <v>1573</v>
      </c>
      <c r="C524" s="3" t="s">
        <v>1574</v>
      </c>
      <c r="D524" s="4" t="s">
        <v>1575</v>
      </c>
      <c r="F524" s="5">
        <f t="shared" si="52"/>
        <v>45.5</v>
      </c>
      <c r="G524" s="10">
        <v>13</v>
      </c>
      <c r="H524" s="7">
        <v>32.5</v>
      </c>
      <c r="I524" s="1">
        <f t="shared" si="53"/>
        <v>3.9</v>
      </c>
      <c r="J524">
        <f t="shared" si="54"/>
        <v>9.75</v>
      </c>
      <c r="K524">
        <f t="shared" si="55"/>
        <v>9.1</v>
      </c>
      <c r="L524">
        <f t="shared" si="56"/>
        <v>22.75</v>
      </c>
    </row>
    <row r="525" spans="1:12" x14ac:dyDescent="0.25">
      <c r="A525" s="1" t="s">
        <v>15</v>
      </c>
      <c r="B525" s="9" t="s">
        <v>1576</v>
      </c>
      <c r="C525" s="3" t="s">
        <v>1577</v>
      </c>
      <c r="D525" s="4" t="s">
        <v>1578</v>
      </c>
      <c r="F525" s="5">
        <f t="shared" si="52"/>
        <v>45.5</v>
      </c>
      <c r="G525" s="10">
        <v>13</v>
      </c>
      <c r="H525" s="7">
        <v>32.5</v>
      </c>
      <c r="I525" s="1">
        <f t="shared" si="53"/>
        <v>3.9</v>
      </c>
      <c r="J525">
        <f t="shared" si="54"/>
        <v>9.75</v>
      </c>
      <c r="K525">
        <f t="shared" si="55"/>
        <v>9.1</v>
      </c>
      <c r="L525">
        <f t="shared" si="56"/>
        <v>22.75</v>
      </c>
    </row>
    <row r="526" spans="1:12" x14ac:dyDescent="0.25">
      <c r="A526" s="1" t="s">
        <v>15</v>
      </c>
      <c r="B526" s="9" t="s">
        <v>1579</v>
      </c>
      <c r="C526" s="3" t="s">
        <v>1580</v>
      </c>
      <c r="D526" s="4" t="s">
        <v>1581</v>
      </c>
      <c r="F526" s="5">
        <f t="shared" si="52"/>
        <v>45.5</v>
      </c>
      <c r="G526" s="10">
        <v>13</v>
      </c>
      <c r="H526" s="7">
        <v>32.5</v>
      </c>
      <c r="I526" s="1">
        <f t="shared" si="53"/>
        <v>3.9</v>
      </c>
      <c r="J526">
        <f t="shared" si="54"/>
        <v>9.75</v>
      </c>
      <c r="K526">
        <f t="shared" si="55"/>
        <v>9.1</v>
      </c>
      <c r="L526">
        <f t="shared" si="56"/>
        <v>22.75</v>
      </c>
    </row>
    <row r="527" spans="1:12" x14ac:dyDescent="0.25">
      <c r="A527" s="1" t="s">
        <v>15</v>
      </c>
      <c r="B527" s="9" t="s">
        <v>1582</v>
      </c>
      <c r="C527" s="3" t="s">
        <v>1583</v>
      </c>
      <c r="D527" s="4" t="s">
        <v>1584</v>
      </c>
      <c r="F527" s="5">
        <f t="shared" si="52"/>
        <v>45.5</v>
      </c>
      <c r="G527" s="10">
        <v>13</v>
      </c>
      <c r="H527" s="7">
        <v>32.5</v>
      </c>
      <c r="I527" s="1">
        <f t="shared" si="53"/>
        <v>3.9</v>
      </c>
      <c r="J527">
        <f t="shared" si="54"/>
        <v>9.75</v>
      </c>
      <c r="K527">
        <f t="shared" si="55"/>
        <v>9.1</v>
      </c>
      <c r="L527">
        <f t="shared" si="56"/>
        <v>22.75</v>
      </c>
    </row>
    <row r="528" spans="1:12" x14ac:dyDescent="0.25">
      <c r="A528" s="1" t="s">
        <v>15</v>
      </c>
      <c r="B528" s="9" t="s">
        <v>1585</v>
      </c>
      <c r="C528" s="3" t="s">
        <v>1586</v>
      </c>
      <c r="D528" s="4" t="s">
        <v>1587</v>
      </c>
      <c r="F528" s="5">
        <f t="shared" si="52"/>
        <v>32.5</v>
      </c>
      <c r="G528" s="10">
        <v>6.5</v>
      </c>
      <c r="H528" s="7">
        <v>26</v>
      </c>
      <c r="I528" s="1">
        <f t="shared" si="53"/>
        <v>1.95</v>
      </c>
      <c r="J528">
        <f t="shared" si="54"/>
        <v>7.8</v>
      </c>
      <c r="K528">
        <f t="shared" si="55"/>
        <v>4.55</v>
      </c>
      <c r="L528">
        <f t="shared" si="56"/>
        <v>18.2</v>
      </c>
    </row>
    <row r="529" spans="1:12" x14ac:dyDescent="0.25">
      <c r="A529" s="1" t="s">
        <v>15</v>
      </c>
      <c r="B529" s="9" t="s">
        <v>1588</v>
      </c>
      <c r="C529" s="3" t="s">
        <v>1589</v>
      </c>
      <c r="D529" s="4" t="s">
        <v>1590</v>
      </c>
      <c r="F529" s="5">
        <f t="shared" si="52"/>
        <v>32.5</v>
      </c>
      <c r="G529" s="10">
        <v>6.5</v>
      </c>
      <c r="H529" s="7">
        <v>26</v>
      </c>
      <c r="I529" s="1">
        <f t="shared" si="53"/>
        <v>1.95</v>
      </c>
      <c r="J529">
        <f t="shared" si="54"/>
        <v>7.8</v>
      </c>
      <c r="K529">
        <f t="shared" si="55"/>
        <v>4.55</v>
      </c>
      <c r="L529">
        <f t="shared" si="56"/>
        <v>18.2</v>
      </c>
    </row>
    <row r="530" spans="1:12" x14ac:dyDescent="0.25">
      <c r="A530" s="1" t="s">
        <v>15</v>
      </c>
      <c r="B530" s="9" t="s">
        <v>1591</v>
      </c>
      <c r="C530" s="3" t="s">
        <v>1592</v>
      </c>
      <c r="D530" s="4" t="s">
        <v>1593</v>
      </c>
      <c r="F530" s="5">
        <f t="shared" si="52"/>
        <v>19.5</v>
      </c>
      <c r="G530" s="10">
        <v>13</v>
      </c>
      <c r="H530" s="7">
        <v>6.5</v>
      </c>
      <c r="I530" s="1">
        <f t="shared" si="53"/>
        <v>3.9</v>
      </c>
      <c r="J530">
        <f t="shared" si="54"/>
        <v>1.95</v>
      </c>
      <c r="K530">
        <f t="shared" si="55"/>
        <v>9.1</v>
      </c>
      <c r="L530">
        <f t="shared" si="56"/>
        <v>4.55</v>
      </c>
    </row>
    <row r="531" spans="1:12" x14ac:dyDescent="0.25">
      <c r="A531" s="1" t="s">
        <v>15</v>
      </c>
      <c r="B531" s="9" t="s">
        <v>1594</v>
      </c>
      <c r="C531" s="3" t="s">
        <v>1595</v>
      </c>
      <c r="D531" s="4" t="s">
        <v>1596</v>
      </c>
      <c r="F531" s="5">
        <f t="shared" si="52"/>
        <v>19.5</v>
      </c>
      <c r="G531" s="10">
        <v>13</v>
      </c>
      <c r="H531" s="7">
        <v>6.5</v>
      </c>
      <c r="I531" s="1">
        <f t="shared" si="53"/>
        <v>3.9</v>
      </c>
      <c r="J531">
        <f t="shared" si="54"/>
        <v>1.95</v>
      </c>
      <c r="K531">
        <f t="shared" si="55"/>
        <v>9.1</v>
      </c>
      <c r="L531">
        <f t="shared" si="56"/>
        <v>4.55</v>
      </c>
    </row>
    <row r="532" spans="1:12" x14ac:dyDescent="0.25">
      <c r="A532" s="1" t="s">
        <v>15</v>
      </c>
      <c r="B532" s="9" t="s">
        <v>1597</v>
      </c>
      <c r="C532" s="3" t="s">
        <v>1598</v>
      </c>
      <c r="D532" s="4" t="s">
        <v>1599</v>
      </c>
      <c r="F532" s="5">
        <f t="shared" si="52"/>
        <v>24.700000000000003</v>
      </c>
      <c r="G532" s="10">
        <v>3.9000000000000004</v>
      </c>
      <c r="H532" s="7">
        <v>20.8</v>
      </c>
      <c r="I532" s="1">
        <f t="shared" si="53"/>
        <v>1.1700000000000002</v>
      </c>
      <c r="J532">
        <f t="shared" si="54"/>
        <v>6.24</v>
      </c>
      <c r="K532">
        <f t="shared" si="55"/>
        <v>2.73</v>
      </c>
      <c r="L532">
        <f t="shared" si="56"/>
        <v>14.559999999999999</v>
      </c>
    </row>
    <row r="533" spans="1:12" x14ac:dyDescent="0.25">
      <c r="A533" s="1" t="s">
        <v>15</v>
      </c>
      <c r="B533" s="9" t="s">
        <v>1600</v>
      </c>
      <c r="C533" s="3" t="s">
        <v>1601</v>
      </c>
      <c r="D533" s="4" t="s">
        <v>1602</v>
      </c>
      <c r="F533" s="5">
        <f t="shared" si="52"/>
        <v>55.900000000000006</v>
      </c>
      <c r="G533" s="10">
        <v>23.400000000000002</v>
      </c>
      <c r="H533" s="7">
        <v>32.5</v>
      </c>
      <c r="I533" s="1">
        <f t="shared" si="53"/>
        <v>7.0200000000000005</v>
      </c>
      <c r="J533">
        <f t="shared" si="54"/>
        <v>9.75</v>
      </c>
      <c r="K533">
        <f t="shared" si="55"/>
        <v>16.38</v>
      </c>
      <c r="L533">
        <f t="shared" si="56"/>
        <v>22.75</v>
      </c>
    </row>
    <row r="534" spans="1:12" x14ac:dyDescent="0.25">
      <c r="A534" s="1" t="s">
        <v>15</v>
      </c>
      <c r="B534" s="9" t="s">
        <v>1603</v>
      </c>
      <c r="C534" s="3" t="s">
        <v>1604</v>
      </c>
      <c r="D534" s="4" t="s">
        <v>1605</v>
      </c>
      <c r="F534" s="5">
        <f t="shared" si="52"/>
        <v>19.5</v>
      </c>
      <c r="G534" s="10">
        <v>6.5</v>
      </c>
      <c r="H534" s="7">
        <v>13</v>
      </c>
      <c r="I534" s="1">
        <f t="shared" si="53"/>
        <v>1.95</v>
      </c>
      <c r="J534">
        <f t="shared" si="54"/>
        <v>3.9</v>
      </c>
      <c r="K534">
        <f t="shared" si="55"/>
        <v>4.55</v>
      </c>
      <c r="L534">
        <f t="shared" si="56"/>
        <v>9.1</v>
      </c>
    </row>
    <row r="535" spans="1:12" x14ac:dyDescent="0.25">
      <c r="A535" s="1" t="s">
        <v>15</v>
      </c>
      <c r="B535" s="9" t="s">
        <v>1606</v>
      </c>
      <c r="C535" s="3" t="s">
        <v>1607</v>
      </c>
      <c r="D535" s="4" t="s">
        <v>1608</v>
      </c>
      <c r="F535" s="5">
        <f t="shared" si="52"/>
        <v>19.5</v>
      </c>
      <c r="G535" s="10">
        <v>6.5</v>
      </c>
      <c r="H535" s="7">
        <v>13</v>
      </c>
      <c r="I535" s="1">
        <f t="shared" si="53"/>
        <v>1.95</v>
      </c>
      <c r="J535">
        <f t="shared" si="54"/>
        <v>3.9</v>
      </c>
      <c r="K535">
        <f t="shared" si="55"/>
        <v>4.55</v>
      </c>
      <c r="L535">
        <f t="shared" si="56"/>
        <v>9.1</v>
      </c>
    </row>
    <row r="536" spans="1:12" x14ac:dyDescent="0.25">
      <c r="A536" s="1" t="s">
        <v>15</v>
      </c>
      <c r="B536" s="9" t="s">
        <v>1609</v>
      </c>
      <c r="C536" s="3" t="s">
        <v>1610</v>
      </c>
      <c r="D536" s="4" t="s">
        <v>1611</v>
      </c>
      <c r="F536" s="5">
        <f t="shared" si="52"/>
        <v>19.5</v>
      </c>
      <c r="G536" s="10">
        <v>6.5</v>
      </c>
      <c r="H536" s="7">
        <v>13</v>
      </c>
      <c r="I536" s="1">
        <f t="shared" si="53"/>
        <v>1.95</v>
      </c>
      <c r="J536">
        <f t="shared" si="54"/>
        <v>3.9</v>
      </c>
      <c r="K536">
        <f t="shared" si="55"/>
        <v>4.55</v>
      </c>
      <c r="L536">
        <f t="shared" si="56"/>
        <v>9.1</v>
      </c>
    </row>
    <row r="537" spans="1:12" x14ac:dyDescent="0.25">
      <c r="A537" s="1" t="s">
        <v>15</v>
      </c>
      <c r="B537" s="9" t="s">
        <v>1612</v>
      </c>
      <c r="C537" s="3" t="s">
        <v>1613</v>
      </c>
      <c r="D537" s="4" t="s">
        <v>1614</v>
      </c>
      <c r="F537" s="5">
        <f t="shared" ref="F537:F596" si="57">G537+H537</f>
        <v>13</v>
      </c>
      <c r="G537" s="10">
        <v>10.4</v>
      </c>
      <c r="H537" s="7">
        <v>2.6</v>
      </c>
      <c r="I537" s="1">
        <f t="shared" si="53"/>
        <v>3.12</v>
      </c>
      <c r="J537">
        <f t="shared" si="54"/>
        <v>0.78</v>
      </c>
      <c r="K537">
        <f t="shared" si="55"/>
        <v>7.2799999999999994</v>
      </c>
      <c r="L537">
        <f t="shared" si="56"/>
        <v>1.8199999999999998</v>
      </c>
    </row>
    <row r="538" spans="1:12" x14ac:dyDescent="0.25">
      <c r="A538" s="1" t="s">
        <v>15</v>
      </c>
      <c r="B538" s="9" t="s">
        <v>1615</v>
      </c>
      <c r="C538" s="3" t="s">
        <v>1616</v>
      </c>
      <c r="D538" s="4" t="s">
        <v>1617</v>
      </c>
      <c r="F538" s="5">
        <f>G538+H538</f>
        <v>13</v>
      </c>
      <c r="G538" s="10">
        <v>10.4</v>
      </c>
      <c r="H538" s="7">
        <v>2.6</v>
      </c>
      <c r="I538" s="1">
        <f t="shared" si="53"/>
        <v>3.12</v>
      </c>
      <c r="J538">
        <f t="shared" si="54"/>
        <v>0.78</v>
      </c>
      <c r="K538">
        <f t="shared" si="55"/>
        <v>7.2799999999999994</v>
      </c>
      <c r="L538">
        <f t="shared" si="56"/>
        <v>1.8199999999999998</v>
      </c>
    </row>
    <row r="539" spans="1:12" x14ac:dyDescent="0.25">
      <c r="A539" s="1" t="s">
        <v>15</v>
      </c>
      <c r="B539" s="9" t="s">
        <v>1618</v>
      </c>
      <c r="C539" s="3" t="s">
        <v>1619</v>
      </c>
      <c r="D539" s="4" t="s">
        <v>1620</v>
      </c>
      <c r="F539" s="5">
        <f>G539+H539</f>
        <v>13</v>
      </c>
      <c r="G539" s="10">
        <v>10.4</v>
      </c>
      <c r="H539" s="7">
        <v>2.6</v>
      </c>
      <c r="I539" s="1">
        <f t="shared" si="53"/>
        <v>3.12</v>
      </c>
      <c r="J539">
        <f t="shared" si="54"/>
        <v>0.78</v>
      </c>
      <c r="K539">
        <f t="shared" si="55"/>
        <v>7.2799999999999994</v>
      </c>
      <c r="L539">
        <f t="shared" si="56"/>
        <v>1.8199999999999998</v>
      </c>
    </row>
    <row r="540" spans="1:12" x14ac:dyDescent="0.25">
      <c r="A540" s="1" t="s">
        <v>15</v>
      </c>
      <c r="B540" s="9" t="s">
        <v>1621</v>
      </c>
      <c r="C540" s="3" t="s">
        <v>1622</v>
      </c>
      <c r="D540" s="4" t="s">
        <v>1623</v>
      </c>
      <c r="F540" s="5">
        <f t="shared" si="57"/>
        <v>19.5</v>
      </c>
      <c r="G540" s="10">
        <v>6.5</v>
      </c>
      <c r="H540" s="7">
        <v>13</v>
      </c>
      <c r="I540" s="1">
        <f t="shared" si="53"/>
        <v>1.95</v>
      </c>
      <c r="J540">
        <f t="shared" si="54"/>
        <v>3.9</v>
      </c>
      <c r="K540">
        <f t="shared" si="55"/>
        <v>4.55</v>
      </c>
      <c r="L540">
        <f t="shared" si="56"/>
        <v>9.1</v>
      </c>
    </row>
    <row r="541" spans="1:12" x14ac:dyDescent="0.25">
      <c r="A541" s="1" t="s">
        <v>15</v>
      </c>
      <c r="B541" s="9" t="s">
        <v>1624</v>
      </c>
      <c r="C541" s="3" t="s">
        <v>1625</v>
      </c>
      <c r="D541" s="4" t="s">
        <v>1626</v>
      </c>
      <c r="F541" s="5">
        <f t="shared" si="57"/>
        <v>19.5</v>
      </c>
      <c r="G541" s="10">
        <v>6.5</v>
      </c>
      <c r="H541" s="7">
        <v>13</v>
      </c>
      <c r="I541" s="1">
        <f t="shared" si="53"/>
        <v>1.95</v>
      </c>
      <c r="J541">
        <f t="shared" si="54"/>
        <v>3.9</v>
      </c>
      <c r="K541">
        <f t="shared" si="55"/>
        <v>4.55</v>
      </c>
      <c r="L541">
        <f t="shared" si="56"/>
        <v>9.1</v>
      </c>
    </row>
    <row r="542" spans="1:12" x14ac:dyDescent="0.25">
      <c r="A542" s="1" t="s">
        <v>15</v>
      </c>
      <c r="B542" s="9" t="s">
        <v>1627</v>
      </c>
      <c r="C542" s="3" t="s">
        <v>1628</v>
      </c>
      <c r="D542" s="4" t="s">
        <v>1629</v>
      </c>
      <c r="F542" s="5">
        <f t="shared" si="57"/>
        <v>19.5</v>
      </c>
      <c r="G542" s="10">
        <v>6.5</v>
      </c>
      <c r="H542" s="7">
        <v>13</v>
      </c>
      <c r="I542" s="1">
        <f t="shared" si="53"/>
        <v>1.95</v>
      </c>
      <c r="J542">
        <f t="shared" si="54"/>
        <v>3.9</v>
      </c>
      <c r="K542">
        <f t="shared" si="55"/>
        <v>4.55</v>
      </c>
      <c r="L542">
        <f t="shared" si="56"/>
        <v>9.1</v>
      </c>
    </row>
    <row r="543" spans="1:12" x14ac:dyDescent="0.25">
      <c r="A543" s="1" t="s">
        <v>15</v>
      </c>
      <c r="B543" s="9" t="s">
        <v>1630</v>
      </c>
      <c r="C543" s="3" t="s">
        <v>1631</v>
      </c>
      <c r="D543" s="4" t="s">
        <v>1632</v>
      </c>
      <c r="F543" s="5">
        <f t="shared" si="57"/>
        <v>19.5</v>
      </c>
      <c r="G543" s="10">
        <v>6.5</v>
      </c>
      <c r="H543" s="7">
        <v>13</v>
      </c>
      <c r="I543" s="1">
        <f t="shared" si="53"/>
        <v>1.95</v>
      </c>
      <c r="J543">
        <f t="shared" si="54"/>
        <v>3.9</v>
      </c>
      <c r="K543">
        <f t="shared" si="55"/>
        <v>4.55</v>
      </c>
      <c r="L543">
        <f t="shared" si="56"/>
        <v>9.1</v>
      </c>
    </row>
    <row r="544" spans="1:12" x14ac:dyDescent="0.25">
      <c r="A544" s="1" t="s">
        <v>15</v>
      </c>
      <c r="B544" s="9" t="s">
        <v>1633</v>
      </c>
      <c r="C544" s="3" t="s">
        <v>1634</v>
      </c>
      <c r="D544" s="4" t="s">
        <v>1635</v>
      </c>
      <c r="F544" s="5">
        <f t="shared" si="57"/>
        <v>19.5</v>
      </c>
      <c r="G544" s="10">
        <v>6.5</v>
      </c>
      <c r="H544" s="7">
        <v>13</v>
      </c>
      <c r="I544" s="1">
        <f t="shared" si="53"/>
        <v>1.95</v>
      </c>
      <c r="J544">
        <f t="shared" si="54"/>
        <v>3.9</v>
      </c>
      <c r="K544">
        <f t="shared" si="55"/>
        <v>4.55</v>
      </c>
      <c r="L544">
        <f t="shared" si="56"/>
        <v>9.1</v>
      </c>
    </row>
    <row r="545" spans="1:12" x14ac:dyDescent="0.25">
      <c r="A545" s="1" t="s">
        <v>15</v>
      </c>
      <c r="B545" s="9" t="s">
        <v>1636</v>
      </c>
      <c r="C545" s="3" t="s">
        <v>1637</v>
      </c>
      <c r="D545" s="4" t="s">
        <v>1638</v>
      </c>
      <c r="F545" s="5">
        <f>G545+H545</f>
        <v>81.900000000000006</v>
      </c>
      <c r="G545" s="10">
        <v>10.4</v>
      </c>
      <c r="H545" s="7">
        <v>71.5</v>
      </c>
      <c r="I545" s="1">
        <f t="shared" si="53"/>
        <v>3.12</v>
      </c>
      <c r="J545">
        <f t="shared" si="54"/>
        <v>21.45</v>
      </c>
      <c r="K545">
        <f t="shared" si="55"/>
        <v>7.2799999999999994</v>
      </c>
      <c r="L545">
        <f t="shared" si="56"/>
        <v>50.05</v>
      </c>
    </row>
    <row r="546" spans="1:12" x14ac:dyDescent="0.25">
      <c r="A546" s="1" t="s">
        <v>15</v>
      </c>
      <c r="B546" s="9" t="s">
        <v>1639</v>
      </c>
      <c r="C546" s="3" t="s">
        <v>1640</v>
      </c>
      <c r="D546" s="4" t="s">
        <v>1641</v>
      </c>
      <c r="F546" s="5"/>
      <c r="G546" s="10"/>
      <c r="H546" s="7"/>
      <c r="I546" s="1">
        <f t="shared" si="53"/>
        <v>0</v>
      </c>
      <c r="J546">
        <f t="shared" si="54"/>
        <v>0</v>
      </c>
      <c r="K546">
        <f t="shared" si="55"/>
        <v>0</v>
      </c>
      <c r="L546">
        <f t="shared" si="56"/>
        <v>0</v>
      </c>
    </row>
    <row r="547" spans="1:12" ht="30" x14ac:dyDescent="0.25">
      <c r="A547" s="1" t="s">
        <v>15</v>
      </c>
      <c r="B547" s="9" t="s">
        <v>1642</v>
      </c>
      <c r="C547" s="16" t="s">
        <v>1643</v>
      </c>
      <c r="D547" s="4" t="s">
        <v>1644</v>
      </c>
      <c r="F547" s="5">
        <f t="shared" ref="F547:F610" si="58">G547+H547</f>
        <v>15.6</v>
      </c>
      <c r="G547" s="10">
        <v>2.6</v>
      </c>
      <c r="H547" s="7">
        <v>13</v>
      </c>
      <c r="I547" s="1">
        <f t="shared" si="53"/>
        <v>0.78</v>
      </c>
      <c r="J547">
        <f t="shared" si="54"/>
        <v>3.9</v>
      </c>
      <c r="K547">
        <f t="shared" si="55"/>
        <v>1.8199999999999998</v>
      </c>
      <c r="L547">
        <f t="shared" si="56"/>
        <v>9.1</v>
      </c>
    </row>
    <row r="548" spans="1:12" ht="30" x14ac:dyDescent="0.25">
      <c r="A548" s="1" t="s">
        <v>15</v>
      </c>
      <c r="B548" s="9" t="s">
        <v>1645</v>
      </c>
      <c r="C548" s="16" t="s">
        <v>1646</v>
      </c>
      <c r="D548" s="4" t="s">
        <v>1647</v>
      </c>
      <c r="F548" s="5">
        <f t="shared" si="58"/>
        <v>15.6</v>
      </c>
      <c r="G548" s="10">
        <v>2.6</v>
      </c>
      <c r="H548" s="7">
        <v>13</v>
      </c>
      <c r="I548" s="1">
        <f t="shared" si="53"/>
        <v>0.78</v>
      </c>
      <c r="J548">
        <f t="shared" si="54"/>
        <v>3.9</v>
      </c>
      <c r="K548">
        <f t="shared" si="55"/>
        <v>1.8199999999999998</v>
      </c>
      <c r="L548">
        <f t="shared" si="56"/>
        <v>9.1</v>
      </c>
    </row>
    <row r="549" spans="1:12" ht="30" x14ac:dyDescent="0.25">
      <c r="A549" s="1" t="s">
        <v>15</v>
      </c>
      <c r="B549" s="9" t="s">
        <v>1648</v>
      </c>
      <c r="C549" s="16" t="s">
        <v>1649</v>
      </c>
      <c r="D549" s="4" t="s">
        <v>1650</v>
      </c>
      <c r="F549" s="5">
        <f t="shared" si="58"/>
        <v>15.6</v>
      </c>
      <c r="G549" s="10">
        <v>2.6</v>
      </c>
      <c r="H549" s="7">
        <v>13</v>
      </c>
      <c r="I549" s="1">
        <f t="shared" si="53"/>
        <v>0.78</v>
      </c>
      <c r="J549">
        <f t="shared" si="54"/>
        <v>3.9</v>
      </c>
      <c r="K549">
        <f t="shared" si="55"/>
        <v>1.8199999999999998</v>
      </c>
      <c r="L549">
        <f t="shared" si="56"/>
        <v>9.1</v>
      </c>
    </row>
    <row r="550" spans="1:12" x14ac:dyDescent="0.25">
      <c r="A550" s="1" t="s">
        <v>15</v>
      </c>
      <c r="B550" s="9" t="s">
        <v>1651</v>
      </c>
      <c r="C550" s="3" t="s">
        <v>1652</v>
      </c>
      <c r="D550" s="13" t="s">
        <v>1653</v>
      </c>
      <c r="F550" s="5">
        <f t="shared" si="58"/>
        <v>65</v>
      </c>
      <c r="G550" s="10">
        <v>13</v>
      </c>
      <c r="H550" s="7">
        <v>52</v>
      </c>
      <c r="I550" s="1">
        <f t="shared" si="53"/>
        <v>3.9</v>
      </c>
      <c r="J550">
        <f t="shared" si="54"/>
        <v>15.6</v>
      </c>
      <c r="K550">
        <f t="shared" si="55"/>
        <v>9.1</v>
      </c>
      <c r="L550">
        <f t="shared" si="56"/>
        <v>36.4</v>
      </c>
    </row>
    <row r="551" spans="1:12" x14ac:dyDescent="0.25">
      <c r="A551" s="1" t="s">
        <v>15</v>
      </c>
      <c r="B551" s="9" t="s">
        <v>1654</v>
      </c>
      <c r="C551" s="3" t="s">
        <v>1655</v>
      </c>
      <c r="D551" s="15" t="s">
        <v>1656</v>
      </c>
      <c r="F551" s="5">
        <f t="shared" si="58"/>
        <v>29.9</v>
      </c>
      <c r="G551" s="10">
        <v>10.4</v>
      </c>
      <c r="H551" s="7">
        <v>19.5</v>
      </c>
      <c r="I551" s="1">
        <f t="shared" si="53"/>
        <v>3.12</v>
      </c>
      <c r="J551">
        <f t="shared" si="54"/>
        <v>5.85</v>
      </c>
      <c r="K551">
        <f t="shared" si="55"/>
        <v>7.2799999999999994</v>
      </c>
      <c r="L551">
        <f t="shared" si="56"/>
        <v>13.649999999999999</v>
      </c>
    </row>
    <row r="552" spans="1:12" x14ac:dyDescent="0.25">
      <c r="A552" s="1" t="s">
        <v>15</v>
      </c>
      <c r="B552" s="9" t="s">
        <v>1657</v>
      </c>
      <c r="C552" s="3" t="s">
        <v>1658</v>
      </c>
      <c r="D552" s="15" t="s">
        <v>1659</v>
      </c>
      <c r="F552" s="5">
        <f t="shared" si="58"/>
        <v>36.400000000000006</v>
      </c>
      <c r="G552" s="10">
        <v>6.5</v>
      </c>
      <c r="H552" s="7">
        <v>29.900000000000002</v>
      </c>
      <c r="I552" s="1">
        <f t="shared" si="53"/>
        <v>1.95</v>
      </c>
      <c r="J552">
        <f t="shared" si="54"/>
        <v>8.9700000000000006</v>
      </c>
      <c r="K552">
        <f t="shared" si="55"/>
        <v>4.55</v>
      </c>
      <c r="L552">
        <f t="shared" si="56"/>
        <v>20.93</v>
      </c>
    </row>
    <row r="553" spans="1:12" x14ac:dyDescent="0.25">
      <c r="A553" s="1" t="s">
        <v>15</v>
      </c>
      <c r="B553" s="9" t="s">
        <v>1660</v>
      </c>
      <c r="C553" s="3" t="s">
        <v>1661</v>
      </c>
      <c r="D553" s="15" t="s">
        <v>1662</v>
      </c>
      <c r="F553" s="5">
        <f t="shared" si="58"/>
        <v>35.1</v>
      </c>
      <c r="G553" s="10">
        <v>6.5</v>
      </c>
      <c r="H553" s="7">
        <v>28.6</v>
      </c>
      <c r="I553" s="1">
        <f t="shared" si="53"/>
        <v>1.95</v>
      </c>
      <c r="J553">
        <f t="shared" si="54"/>
        <v>8.58</v>
      </c>
      <c r="K553">
        <f t="shared" si="55"/>
        <v>4.55</v>
      </c>
      <c r="L553">
        <f t="shared" si="56"/>
        <v>20.02</v>
      </c>
    </row>
    <row r="554" spans="1:12" x14ac:dyDescent="0.25">
      <c r="A554" s="1" t="s">
        <v>15</v>
      </c>
      <c r="B554" s="9" t="s">
        <v>1663</v>
      </c>
      <c r="C554" s="3" t="s">
        <v>1664</v>
      </c>
      <c r="D554" s="4" t="s">
        <v>1665</v>
      </c>
      <c r="F554" s="5">
        <f t="shared" si="58"/>
        <v>45.5</v>
      </c>
      <c r="G554" s="10">
        <v>45.5</v>
      </c>
      <c r="H554" s="7">
        <v>0</v>
      </c>
      <c r="I554" s="1">
        <f t="shared" si="53"/>
        <v>13.65</v>
      </c>
      <c r="J554">
        <f t="shared" si="54"/>
        <v>0</v>
      </c>
      <c r="K554">
        <f t="shared" si="55"/>
        <v>31.849999999999998</v>
      </c>
      <c r="L554">
        <f t="shared" si="56"/>
        <v>0</v>
      </c>
    </row>
    <row r="555" spans="1:12" x14ac:dyDescent="0.25">
      <c r="A555" s="1" t="s">
        <v>15</v>
      </c>
      <c r="B555" s="9" t="s">
        <v>1666</v>
      </c>
      <c r="C555" s="3" t="s">
        <v>1667</v>
      </c>
      <c r="D555" s="13" t="s">
        <v>1668</v>
      </c>
      <c r="F555" s="5">
        <f t="shared" si="58"/>
        <v>156</v>
      </c>
      <c r="G555" s="10">
        <v>156</v>
      </c>
      <c r="H555" s="7">
        <v>0</v>
      </c>
      <c r="I555" s="1">
        <f t="shared" si="53"/>
        <v>46.8</v>
      </c>
      <c r="J555">
        <f t="shared" si="54"/>
        <v>0</v>
      </c>
      <c r="K555">
        <f t="shared" si="55"/>
        <v>109.19999999999999</v>
      </c>
      <c r="L555">
        <f t="shared" si="56"/>
        <v>0</v>
      </c>
    </row>
    <row r="556" spans="1:12" x14ac:dyDescent="0.25">
      <c r="A556" s="1" t="s">
        <v>15</v>
      </c>
      <c r="B556" s="9" t="s">
        <v>1669</v>
      </c>
      <c r="C556" s="3" t="s">
        <v>1670</v>
      </c>
      <c r="D556" s="12" t="s">
        <v>1671</v>
      </c>
      <c r="F556" s="5">
        <f t="shared" si="58"/>
        <v>58.5</v>
      </c>
      <c r="G556" s="10">
        <v>58.5</v>
      </c>
      <c r="H556" s="7">
        <v>0</v>
      </c>
      <c r="I556" s="1">
        <f t="shared" si="53"/>
        <v>17.55</v>
      </c>
      <c r="J556">
        <f t="shared" si="54"/>
        <v>0</v>
      </c>
      <c r="K556">
        <f t="shared" si="55"/>
        <v>40.949999999999996</v>
      </c>
      <c r="L556">
        <f t="shared" si="56"/>
        <v>0</v>
      </c>
    </row>
    <row r="557" spans="1:12" x14ac:dyDescent="0.25">
      <c r="A557" s="1" t="s">
        <v>15</v>
      </c>
      <c r="B557" s="9" t="s">
        <v>1672</v>
      </c>
      <c r="C557" s="3" t="s">
        <v>1673</v>
      </c>
      <c r="D557" s="12" t="s">
        <v>1674</v>
      </c>
      <c r="F557" s="5">
        <f t="shared" si="58"/>
        <v>23.400000000000002</v>
      </c>
      <c r="G557" s="10">
        <v>23.400000000000002</v>
      </c>
      <c r="H557" s="7">
        <v>0</v>
      </c>
      <c r="I557" s="1">
        <f t="shared" si="53"/>
        <v>7.0200000000000005</v>
      </c>
      <c r="J557">
        <f t="shared" si="54"/>
        <v>0</v>
      </c>
      <c r="K557">
        <f t="shared" si="55"/>
        <v>16.38</v>
      </c>
      <c r="L557">
        <f t="shared" si="56"/>
        <v>0</v>
      </c>
    </row>
    <row r="558" spans="1:12" x14ac:dyDescent="0.25">
      <c r="A558" s="1" t="s">
        <v>15</v>
      </c>
      <c r="B558" s="9" t="s">
        <v>1675</v>
      </c>
      <c r="C558" s="3" t="s">
        <v>1676</v>
      </c>
      <c r="D558" s="13" t="s">
        <v>1677</v>
      </c>
      <c r="F558" s="5">
        <f t="shared" si="58"/>
        <v>39</v>
      </c>
      <c r="G558" s="11">
        <v>39</v>
      </c>
      <c r="H558" s="14">
        <v>0</v>
      </c>
      <c r="I558" s="1">
        <f t="shared" si="53"/>
        <v>11.7</v>
      </c>
      <c r="J558">
        <f t="shared" si="54"/>
        <v>0</v>
      </c>
      <c r="K558">
        <f t="shared" si="55"/>
        <v>27.299999999999997</v>
      </c>
      <c r="L558">
        <f t="shared" si="56"/>
        <v>0</v>
      </c>
    </row>
    <row r="559" spans="1:12" x14ac:dyDescent="0.25">
      <c r="A559" s="1" t="s">
        <v>15</v>
      </c>
      <c r="B559" s="9" t="s">
        <v>1678</v>
      </c>
      <c r="C559" s="3" t="s">
        <v>1679</v>
      </c>
      <c r="D559" s="13" t="s">
        <v>1680</v>
      </c>
      <c r="F559" s="5">
        <f t="shared" si="58"/>
        <v>39</v>
      </c>
      <c r="G559" s="11">
        <v>39</v>
      </c>
      <c r="H559" s="14">
        <v>0</v>
      </c>
      <c r="I559" s="1">
        <f t="shared" si="53"/>
        <v>11.7</v>
      </c>
      <c r="J559">
        <f t="shared" si="54"/>
        <v>0</v>
      </c>
      <c r="K559">
        <f t="shared" si="55"/>
        <v>27.299999999999997</v>
      </c>
      <c r="L559">
        <f t="shared" si="56"/>
        <v>0</v>
      </c>
    </row>
    <row r="560" spans="1:12" x14ac:dyDescent="0.25">
      <c r="A560" s="1" t="s">
        <v>15</v>
      </c>
      <c r="B560" s="9" t="s">
        <v>1681</v>
      </c>
      <c r="C560" s="3" t="s">
        <v>1682</v>
      </c>
      <c r="D560" s="4" t="s">
        <v>1683</v>
      </c>
      <c r="F560" s="5">
        <f t="shared" si="58"/>
        <v>39</v>
      </c>
      <c r="G560" s="11">
        <v>39</v>
      </c>
      <c r="H560" s="7">
        <v>0</v>
      </c>
      <c r="I560" s="1">
        <f t="shared" si="53"/>
        <v>11.7</v>
      </c>
      <c r="J560">
        <f t="shared" si="54"/>
        <v>0</v>
      </c>
      <c r="K560">
        <f t="shared" si="55"/>
        <v>27.299999999999997</v>
      </c>
      <c r="L560">
        <f t="shared" si="56"/>
        <v>0</v>
      </c>
    </row>
    <row r="561" spans="1:12" x14ac:dyDescent="0.25">
      <c r="A561" s="1" t="s">
        <v>15</v>
      </c>
      <c r="B561" s="9" t="s">
        <v>1684</v>
      </c>
      <c r="C561" s="3" t="s">
        <v>1685</v>
      </c>
      <c r="D561" s="4" t="s">
        <v>1686</v>
      </c>
      <c r="F561" s="5">
        <f t="shared" si="58"/>
        <v>39</v>
      </c>
      <c r="G561" s="11">
        <v>39</v>
      </c>
      <c r="H561" s="7">
        <v>0</v>
      </c>
      <c r="I561" s="1">
        <f t="shared" si="53"/>
        <v>11.7</v>
      </c>
      <c r="J561">
        <f t="shared" si="54"/>
        <v>0</v>
      </c>
      <c r="K561">
        <f t="shared" si="55"/>
        <v>27.299999999999997</v>
      </c>
      <c r="L561">
        <f t="shared" si="56"/>
        <v>0</v>
      </c>
    </row>
    <row r="562" spans="1:12" x14ac:dyDescent="0.25">
      <c r="A562" s="1" t="s">
        <v>15</v>
      </c>
      <c r="B562" s="9" t="s">
        <v>1687</v>
      </c>
      <c r="C562" s="3" t="s">
        <v>1688</v>
      </c>
      <c r="D562" s="4" t="s">
        <v>1689</v>
      </c>
      <c r="F562" s="5">
        <f t="shared" si="58"/>
        <v>39</v>
      </c>
      <c r="G562" s="11">
        <v>39</v>
      </c>
      <c r="H562" s="7">
        <v>0</v>
      </c>
      <c r="I562" s="1">
        <f t="shared" si="53"/>
        <v>11.7</v>
      </c>
      <c r="J562">
        <f t="shared" si="54"/>
        <v>0</v>
      </c>
      <c r="K562">
        <f t="shared" si="55"/>
        <v>27.299999999999997</v>
      </c>
      <c r="L562">
        <f t="shared" si="56"/>
        <v>0</v>
      </c>
    </row>
    <row r="563" spans="1:12" x14ac:dyDescent="0.25">
      <c r="A563" s="1" t="s">
        <v>15</v>
      </c>
      <c r="B563" s="9" t="s">
        <v>1690</v>
      </c>
      <c r="C563" s="3" t="s">
        <v>1691</v>
      </c>
      <c r="D563" s="4" t="s">
        <v>1692</v>
      </c>
      <c r="F563" s="5">
        <f t="shared" si="58"/>
        <v>39</v>
      </c>
      <c r="G563" s="11">
        <v>39</v>
      </c>
      <c r="H563" s="7">
        <v>0</v>
      </c>
      <c r="I563" s="1">
        <f t="shared" si="53"/>
        <v>11.7</v>
      </c>
      <c r="J563">
        <f t="shared" si="54"/>
        <v>0</v>
      </c>
      <c r="K563">
        <f t="shared" si="55"/>
        <v>27.299999999999997</v>
      </c>
      <c r="L563">
        <f t="shared" si="56"/>
        <v>0</v>
      </c>
    </row>
    <row r="564" spans="1:12" x14ac:dyDescent="0.25">
      <c r="A564" s="1" t="s">
        <v>15</v>
      </c>
      <c r="B564" s="9" t="s">
        <v>1693</v>
      </c>
      <c r="C564" s="3" t="s">
        <v>1694</v>
      </c>
      <c r="D564" s="13" t="s">
        <v>1695</v>
      </c>
      <c r="F564" s="5">
        <f t="shared" si="58"/>
        <v>39</v>
      </c>
      <c r="G564" s="11">
        <v>39</v>
      </c>
      <c r="H564" s="7">
        <v>0</v>
      </c>
      <c r="I564" s="1">
        <f t="shared" si="53"/>
        <v>11.7</v>
      </c>
      <c r="J564">
        <f t="shared" si="54"/>
        <v>0</v>
      </c>
      <c r="K564">
        <f t="shared" si="55"/>
        <v>27.299999999999997</v>
      </c>
      <c r="L564">
        <f t="shared" si="56"/>
        <v>0</v>
      </c>
    </row>
    <row r="565" spans="1:12" x14ac:dyDescent="0.25">
      <c r="A565" s="1" t="s">
        <v>15</v>
      </c>
      <c r="B565" s="9" t="s">
        <v>1696</v>
      </c>
      <c r="C565" s="3" t="s">
        <v>1697</v>
      </c>
      <c r="D565" s="13" t="s">
        <v>1698</v>
      </c>
      <c r="F565" s="5">
        <f t="shared" si="58"/>
        <v>39</v>
      </c>
      <c r="G565" s="11">
        <v>39</v>
      </c>
      <c r="H565" s="7">
        <v>0</v>
      </c>
      <c r="I565" s="1">
        <f t="shared" si="53"/>
        <v>11.7</v>
      </c>
      <c r="J565">
        <f t="shared" si="54"/>
        <v>0</v>
      </c>
      <c r="K565">
        <f t="shared" si="55"/>
        <v>27.299999999999997</v>
      </c>
      <c r="L565">
        <f t="shared" si="56"/>
        <v>0</v>
      </c>
    </row>
    <row r="566" spans="1:12" x14ac:dyDescent="0.25">
      <c r="A566" s="1" t="s">
        <v>15</v>
      </c>
      <c r="B566" s="9" t="s">
        <v>1699</v>
      </c>
      <c r="C566" s="3" t="s">
        <v>1700</v>
      </c>
      <c r="D566" s="13" t="s">
        <v>1701</v>
      </c>
      <c r="F566" s="5">
        <f t="shared" si="58"/>
        <v>32.5</v>
      </c>
      <c r="G566" s="10">
        <v>32.5</v>
      </c>
      <c r="H566" s="7">
        <v>0</v>
      </c>
      <c r="I566" s="1">
        <f t="shared" si="53"/>
        <v>9.75</v>
      </c>
      <c r="J566">
        <f t="shared" si="54"/>
        <v>0</v>
      </c>
      <c r="K566">
        <f t="shared" si="55"/>
        <v>22.75</v>
      </c>
      <c r="L566">
        <f t="shared" si="56"/>
        <v>0</v>
      </c>
    </row>
    <row r="567" spans="1:12" x14ac:dyDescent="0.25">
      <c r="A567" s="1" t="s">
        <v>15</v>
      </c>
      <c r="B567" s="9" t="s">
        <v>1702</v>
      </c>
      <c r="C567" s="3" t="s">
        <v>1703</v>
      </c>
      <c r="D567" s="13" t="s">
        <v>1704</v>
      </c>
      <c r="F567" s="5">
        <f t="shared" si="58"/>
        <v>52</v>
      </c>
      <c r="G567" s="10">
        <v>52</v>
      </c>
      <c r="H567" s="7">
        <v>0</v>
      </c>
      <c r="I567" s="1">
        <f t="shared" si="53"/>
        <v>15.6</v>
      </c>
      <c r="J567">
        <f t="shared" si="54"/>
        <v>0</v>
      </c>
      <c r="K567">
        <f t="shared" si="55"/>
        <v>36.4</v>
      </c>
      <c r="L567">
        <f t="shared" si="56"/>
        <v>0</v>
      </c>
    </row>
    <row r="568" spans="1:12" x14ac:dyDescent="0.25">
      <c r="A568" s="1" t="s">
        <v>15</v>
      </c>
      <c r="B568" s="9" t="s">
        <v>1705</v>
      </c>
      <c r="C568" s="3" t="s">
        <v>1706</v>
      </c>
      <c r="D568" s="4" t="s">
        <v>1707</v>
      </c>
      <c r="F568" s="5">
        <f t="shared" si="58"/>
        <v>39</v>
      </c>
      <c r="G568" s="10">
        <v>13</v>
      </c>
      <c r="H568" s="7">
        <v>26</v>
      </c>
      <c r="I568" s="1">
        <f t="shared" si="53"/>
        <v>3.9</v>
      </c>
      <c r="J568">
        <f t="shared" si="54"/>
        <v>7.8</v>
      </c>
      <c r="K568">
        <f t="shared" si="55"/>
        <v>9.1</v>
      </c>
      <c r="L568">
        <f t="shared" si="56"/>
        <v>18.2</v>
      </c>
    </row>
    <row r="569" spans="1:12" x14ac:dyDescent="0.25">
      <c r="A569" s="1" t="s">
        <v>15</v>
      </c>
      <c r="B569" s="9" t="s">
        <v>1708</v>
      </c>
      <c r="C569" s="3" t="s">
        <v>1709</v>
      </c>
      <c r="D569" s="4" t="s">
        <v>1710</v>
      </c>
      <c r="F569" s="5">
        <f t="shared" si="58"/>
        <v>39</v>
      </c>
      <c r="G569" s="10">
        <v>13</v>
      </c>
      <c r="H569" s="7">
        <v>26</v>
      </c>
      <c r="I569" s="1">
        <f t="shared" si="53"/>
        <v>3.9</v>
      </c>
      <c r="J569">
        <f t="shared" si="54"/>
        <v>7.8</v>
      </c>
      <c r="K569">
        <f t="shared" si="55"/>
        <v>9.1</v>
      </c>
      <c r="L569">
        <f t="shared" si="56"/>
        <v>18.2</v>
      </c>
    </row>
    <row r="570" spans="1:12" x14ac:dyDescent="0.25">
      <c r="A570" s="1" t="s">
        <v>15</v>
      </c>
      <c r="B570" s="9" t="s">
        <v>1711</v>
      </c>
      <c r="C570" s="3" t="s">
        <v>1712</v>
      </c>
      <c r="D570" s="4" t="s">
        <v>1713</v>
      </c>
      <c r="F570" s="5">
        <f t="shared" si="58"/>
        <v>58.5</v>
      </c>
      <c r="G570" s="10">
        <v>13</v>
      </c>
      <c r="H570" s="7">
        <v>45.5</v>
      </c>
      <c r="I570" s="1">
        <f t="shared" si="53"/>
        <v>3.9</v>
      </c>
      <c r="J570">
        <f t="shared" si="54"/>
        <v>13.65</v>
      </c>
      <c r="K570">
        <f t="shared" si="55"/>
        <v>9.1</v>
      </c>
      <c r="L570">
        <f t="shared" si="56"/>
        <v>31.849999999999998</v>
      </c>
    </row>
    <row r="571" spans="1:12" x14ac:dyDescent="0.25">
      <c r="A571" s="1" t="s">
        <v>15</v>
      </c>
      <c r="B571" s="9" t="s">
        <v>1714</v>
      </c>
      <c r="C571" s="3" t="s">
        <v>1715</v>
      </c>
      <c r="D571" s="4" t="s">
        <v>1716</v>
      </c>
      <c r="F571" s="5">
        <f t="shared" si="58"/>
        <v>39</v>
      </c>
      <c r="G571" s="10">
        <v>13</v>
      </c>
      <c r="H571" s="7">
        <v>26</v>
      </c>
      <c r="I571" s="1">
        <f t="shared" si="53"/>
        <v>3.9</v>
      </c>
      <c r="J571">
        <f t="shared" si="54"/>
        <v>7.8</v>
      </c>
      <c r="K571">
        <f t="shared" si="55"/>
        <v>9.1</v>
      </c>
      <c r="L571">
        <f t="shared" si="56"/>
        <v>18.2</v>
      </c>
    </row>
    <row r="572" spans="1:12" x14ac:dyDescent="0.25">
      <c r="A572" s="1" t="s">
        <v>15</v>
      </c>
      <c r="B572" s="9" t="s">
        <v>1717</v>
      </c>
      <c r="C572" s="3" t="s">
        <v>1718</v>
      </c>
      <c r="D572" s="4" t="s">
        <v>1719</v>
      </c>
      <c r="F572" s="5">
        <f t="shared" si="58"/>
        <v>39</v>
      </c>
      <c r="G572" s="10">
        <v>13</v>
      </c>
      <c r="H572" s="7">
        <v>26</v>
      </c>
      <c r="I572" s="1">
        <f t="shared" si="53"/>
        <v>3.9</v>
      </c>
      <c r="J572">
        <f t="shared" si="54"/>
        <v>7.8</v>
      </c>
      <c r="K572">
        <f t="shared" si="55"/>
        <v>9.1</v>
      </c>
      <c r="L572">
        <f t="shared" si="56"/>
        <v>18.2</v>
      </c>
    </row>
    <row r="573" spans="1:12" x14ac:dyDescent="0.25">
      <c r="A573" s="1" t="s">
        <v>15</v>
      </c>
      <c r="B573" s="9" t="s">
        <v>1720</v>
      </c>
      <c r="C573" s="3" t="s">
        <v>1721</v>
      </c>
      <c r="D573" s="13" t="s">
        <v>1722</v>
      </c>
      <c r="F573" s="5">
        <f t="shared" si="58"/>
        <v>71.5</v>
      </c>
      <c r="G573" s="10">
        <v>13</v>
      </c>
      <c r="H573" s="7">
        <v>58.5</v>
      </c>
      <c r="I573" s="1">
        <f t="shared" si="53"/>
        <v>3.9</v>
      </c>
      <c r="J573">
        <f t="shared" si="54"/>
        <v>17.55</v>
      </c>
      <c r="K573">
        <f t="shared" si="55"/>
        <v>9.1</v>
      </c>
      <c r="L573">
        <f t="shared" si="56"/>
        <v>40.949999999999996</v>
      </c>
    </row>
    <row r="574" spans="1:12" x14ac:dyDescent="0.25">
      <c r="A574" s="1" t="s">
        <v>15</v>
      </c>
      <c r="B574" s="9" t="s">
        <v>1723</v>
      </c>
      <c r="C574" s="3" t="s">
        <v>1724</v>
      </c>
      <c r="D574" s="4" t="s">
        <v>1725</v>
      </c>
      <c r="F574" s="5">
        <f t="shared" si="58"/>
        <v>13</v>
      </c>
      <c r="G574" s="10">
        <v>2.6</v>
      </c>
      <c r="H574" s="7">
        <v>10.4</v>
      </c>
      <c r="I574" s="1">
        <f t="shared" si="53"/>
        <v>0.78</v>
      </c>
      <c r="J574">
        <f t="shared" si="54"/>
        <v>3.12</v>
      </c>
      <c r="K574">
        <f t="shared" si="55"/>
        <v>1.8199999999999998</v>
      </c>
      <c r="L574">
        <f t="shared" si="56"/>
        <v>7.2799999999999994</v>
      </c>
    </row>
    <row r="575" spans="1:12" x14ac:dyDescent="0.25">
      <c r="A575" s="1" t="s">
        <v>15</v>
      </c>
      <c r="B575" s="9" t="s">
        <v>1726</v>
      </c>
      <c r="C575" s="3" t="s">
        <v>1727</v>
      </c>
      <c r="D575" s="4" t="s">
        <v>1728</v>
      </c>
      <c r="F575" s="5">
        <f t="shared" si="58"/>
        <v>13</v>
      </c>
      <c r="G575" s="10">
        <v>2.6</v>
      </c>
      <c r="H575" s="7">
        <v>10.4</v>
      </c>
      <c r="I575" s="1">
        <f t="shared" si="53"/>
        <v>0.78</v>
      </c>
      <c r="J575">
        <f t="shared" si="54"/>
        <v>3.12</v>
      </c>
      <c r="K575">
        <f t="shared" si="55"/>
        <v>1.8199999999999998</v>
      </c>
      <c r="L575">
        <f t="shared" si="56"/>
        <v>7.2799999999999994</v>
      </c>
    </row>
    <row r="576" spans="1:12" x14ac:dyDescent="0.25">
      <c r="A576" s="1" t="s">
        <v>15</v>
      </c>
      <c r="B576" s="9" t="s">
        <v>1729</v>
      </c>
      <c r="C576" s="3" t="s">
        <v>1730</v>
      </c>
      <c r="D576" s="4" t="s">
        <v>1731</v>
      </c>
      <c r="F576" s="5">
        <f t="shared" si="58"/>
        <v>13</v>
      </c>
      <c r="G576" s="10">
        <v>2.6</v>
      </c>
      <c r="H576" s="7">
        <v>10.4</v>
      </c>
      <c r="I576" s="1">
        <f t="shared" si="53"/>
        <v>0.78</v>
      </c>
      <c r="J576">
        <f t="shared" si="54"/>
        <v>3.12</v>
      </c>
      <c r="K576">
        <f t="shared" si="55"/>
        <v>1.8199999999999998</v>
      </c>
      <c r="L576">
        <f t="shared" si="56"/>
        <v>7.2799999999999994</v>
      </c>
    </row>
    <row r="577" spans="1:12" x14ac:dyDescent="0.25">
      <c r="A577" s="1" t="s">
        <v>15</v>
      </c>
      <c r="B577" s="9" t="s">
        <v>1732</v>
      </c>
      <c r="C577" s="3" t="s">
        <v>1733</v>
      </c>
      <c r="D577" s="4" t="s">
        <v>1734</v>
      </c>
      <c r="F577" s="5">
        <f t="shared" si="58"/>
        <v>13</v>
      </c>
      <c r="G577" s="10">
        <v>2.6</v>
      </c>
      <c r="H577" s="7">
        <v>10.4</v>
      </c>
      <c r="I577" s="1">
        <f t="shared" si="53"/>
        <v>0.78</v>
      </c>
      <c r="J577">
        <f t="shared" si="54"/>
        <v>3.12</v>
      </c>
      <c r="K577">
        <f t="shared" si="55"/>
        <v>1.8199999999999998</v>
      </c>
      <c r="L577">
        <f t="shared" si="56"/>
        <v>7.2799999999999994</v>
      </c>
    </row>
    <row r="578" spans="1:12" x14ac:dyDescent="0.25">
      <c r="A578" s="1" t="s">
        <v>15</v>
      </c>
      <c r="B578" s="9" t="s">
        <v>1735</v>
      </c>
      <c r="C578" s="3" t="s">
        <v>1736</v>
      </c>
      <c r="D578" s="4" t="s">
        <v>1737</v>
      </c>
      <c r="F578" s="5">
        <f t="shared" si="58"/>
        <v>13</v>
      </c>
      <c r="G578" s="10">
        <v>2.6</v>
      </c>
      <c r="H578" s="7">
        <v>10.4</v>
      </c>
      <c r="I578" s="1">
        <f t="shared" si="53"/>
        <v>0.78</v>
      </c>
      <c r="J578">
        <f t="shared" si="54"/>
        <v>3.12</v>
      </c>
      <c r="K578">
        <f t="shared" si="55"/>
        <v>1.8199999999999998</v>
      </c>
      <c r="L578">
        <f t="shared" si="56"/>
        <v>7.2799999999999994</v>
      </c>
    </row>
    <row r="579" spans="1:12" x14ac:dyDescent="0.25">
      <c r="A579" s="1" t="s">
        <v>15</v>
      </c>
      <c r="B579" s="9" t="s">
        <v>1738</v>
      </c>
      <c r="C579" s="3" t="s">
        <v>1739</v>
      </c>
      <c r="D579" s="4" t="s">
        <v>1740</v>
      </c>
      <c r="F579" s="5">
        <f t="shared" si="58"/>
        <v>13</v>
      </c>
      <c r="G579" s="10">
        <v>2.6</v>
      </c>
      <c r="H579" s="7">
        <v>10.4</v>
      </c>
      <c r="I579" s="1">
        <f t="shared" si="53"/>
        <v>0.78</v>
      </c>
      <c r="J579">
        <f t="shared" si="54"/>
        <v>3.12</v>
      </c>
      <c r="K579">
        <f t="shared" si="55"/>
        <v>1.8199999999999998</v>
      </c>
      <c r="L579">
        <f t="shared" si="56"/>
        <v>7.2799999999999994</v>
      </c>
    </row>
    <row r="580" spans="1:12" x14ac:dyDescent="0.25">
      <c r="A580" s="1" t="s">
        <v>15</v>
      </c>
      <c r="B580" s="9" t="s">
        <v>1741</v>
      </c>
      <c r="C580" s="3" t="s">
        <v>1742</v>
      </c>
      <c r="D580" s="4" t="s">
        <v>1743</v>
      </c>
      <c r="F580" s="5">
        <f t="shared" si="58"/>
        <v>13</v>
      </c>
      <c r="G580" s="10">
        <v>2.6</v>
      </c>
      <c r="H580" s="7">
        <v>10.4</v>
      </c>
      <c r="I580" s="1">
        <f t="shared" ref="I580:I643" si="59">G580*0.3</f>
        <v>0.78</v>
      </c>
      <c r="J580">
        <f t="shared" ref="J580:J643" si="60">H580*0.3</f>
        <v>3.12</v>
      </c>
      <c r="K580">
        <f t="shared" ref="K580:K643" si="61">G580*0.7</f>
        <v>1.8199999999999998</v>
      </c>
      <c r="L580">
        <f t="shared" ref="L580:L643" si="62">H580*0.7</f>
        <v>7.2799999999999994</v>
      </c>
    </row>
    <row r="581" spans="1:12" x14ac:dyDescent="0.25">
      <c r="A581" s="1" t="s">
        <v>15</v>
      </c>
      <c r="B581" s="9" t="s">
        <v>1744</v>
      </c>
      <c r="C581" s="3" t="s">
        <v>1745</v>
      </c>
      <c r="D581" s="4" t="s">
        <v>1746</v>
      </c>
      <c r="F581" s="5">
        <f t="shared" si="58"/>
        <v>13</v>
      </c>
      <c r="G581" s="10">
        <v>2.6</v>
      </c>
      <c r="H581" s="7">
        <v>10.4</v>
      </c>
      <c r="I581" s="1">
        <f t="shared" si="59"/>
        <v>0.78</v>
      </c>
      <c r="J581">
        <f t="shared" si="60"/>
        <v>3.12</v>
      </c>
      <c r="K581">
        <f t="shared" si="61"/>
        <v>1.8199999999999998</v>
      </c>
      <c r="L581">
        <f t="shared" si="62"/>
        <v>7.2799999999999994</v>
      </c>
    </row>
    <row r="582" spans="1:12" x14ac:dyDescent="0.25">
      <c r="A582" s="1" t="s">
        <v>15</v>
      </c>
      <c r="B582" s="9" t="s">
        <v>1747</v>
      </c>
      <c r="C582" s="3" t="s">
        <v>1748</v>
      </c>
      <c r="D582" s="4" t="s">
        <v>1749</v>
      </c>
      <c r="F582" s="5">
        <f t="shared" si="58"/>
        <v>13</v>
      </c>
      <c r="G582" s="10">
        <v>2.6</v>
      </c>
      <c r="H582" s="7">
        <v>10.4</v>
      </c>
      <c r="I582" s="1">
        <f t="shared" si="59"/>
        <v>0.78</v>
      </c>
      <c r="J582">
        <f t="shared" si="60"/>
        <v>3.12</v>
      </c>
      <c r="K582">
        <f t="shared" si="61"/>
        <v>1.8199999999999998</v>
      </c>
      <c r="L582">
        <f t="shared" si="62"/>
        <v>7.2799999999999994</v>
      </c>
    </row>
    <row r="583" spans="1:12" x14ac:dyDescent="0.25">
      <c r="A583" s="1" t="s">
        <v>15</v>
      </c>
      <c r="B583" s="9" t="s">
        <v>1750</v>
      </c>
      <c r="C583" s="3" t="s">
        <v>1751</v>
      </c>
      <c r="D583" s="4" t="s">
        <v>1752</v>
      </c>
      <c r="F583" s="5">
        <f t="shared" si="58"/>
        <v>13</v>
      </c>
      <c r="G583" s="10">
        <v>2.6</v>
      </c>
      <c r="H583" s="7">
        <v>10.4</v>
      </c>
      <c r="I583" s="1">
        <f t="shared" si="59"/>
        <v>0.78</v>
      </c>
      <c r="J583">
        <f t="shared" si="60"/>
        <v>3.12</v>
      </c>
      <c r="K583">
        <f t="shared" si="61"/>
        <v>1.8199999999999998</v>
      </c>
      <c r="L583">
        <f t="shared" si="62"/>
        <v>7.2799999999999994</v>
      </c>
    </row>
    <row r="584" spans="1:12" x14ac:dyDescent="0.25">
      <c r="A584" s="1" t="s">
        <v>15</v>
      </c>
      <c r="B584" s="9" t="s">
        <v>1753</v>
      </c>
      <c r="C584" s="3" t="s">
        <v>1754</v>
      </c>
      <c r="D584" s="4" t="s">
        <v>1755</v>
      </c>
      <c r="F584" s="5">
        <f t="shared" si="58"/>
        <v>13</v>
      </c>
      <c r="G584" s="10">
        <v>2.6</v>
      </c>
      <c r="H584" s="7">
        <v>10.4</v>
      </c>
      <c r="I584" s="1">
        <f t="shared" si="59"/>
        <v>0.78</v>
      </c>
      <c r="J584">
        <f t="shared" si="60"/>
        <v>3.12</v>
      </c>
      <c r="K584">
        <f t="shared" si="61"/>
        <v>1.8199999999999998</v>
      </c>
      <c r="L584">
        <f t="shared" si="62"/>
        <v>7.2799999999999994</v>
      </c>
    </row>
    <row r="585" spans="1:12" x14ac:dyDescent="0.25">
      <c r="A585" s="1" t="s">
        <v>15</v>
      </c>
      <c r="B585" s="9" t="s">
        <v>1756</v>
      </c>
      <c r="C585" s="3" t="s">
        <v>1757</v>
      </c>
      <c r="D585" s="4" t="s">
        <v>1758</v>
      </c>
      <c r="F585" s="5">
        <f t="shared" si="58"/>
        <v>13</v>
      </c>
      <c r="G585" s="10">
        <v>2.6</v>
      </c>
      <c r="H585" s="7">
        <v>10.4</v>
      </c>
      <c r="I585" s="1">
        <f t="shared" si="59"/>
        <v>0.78</v>
      </c>
      <c r="J585">
        <f t="shared" si="60"/>
        <v>3.12</v>
      </c>
      <c r="K585">
        <f t="shared" si="61"/>
        <v>1.8199999999999998</v>
      </c>
      <c r="L585">
        <f t="shared" si="62"/>
        <v>7.2799999999999994</v>
      </c>
    </row>
    <row r="586" spans="1:12" x14ac:dyDescent="0.25">
      <c r="A586" s="1" t="s">
        <v>15</v>
      </c>
      <c r="B586" s="9" t="s">
        <v>1759</v>
      </c>
      <c r="C586" s="3" t="s">
        <v>1760</v>
      </c>
      <c r="D586" s="4" t="s">
        <v>1761</v>
      </c>
      <c r="F586" s="5">
        <f t="shared" si="58"/>
        <v>13</v>
      </c>
      <c r="G586" s="10">
        <v>2.6</v>
      </c>
      <c r="H586" s="7">
        <v>10.4</v>
      </c>
      <c r="I586" s="1">
        <f t="shared" si="59"/>
        <v>0.78</v>
      </c>
      <c r="J586">
        <f t="shared" si="60"/>
        <v>3.12</v>
      </c>
      <c r="K586">
        <f t="shared" si="61"/>
        <v>1.8199999999999998</v>
      </c>
      <c r="L586">
        <f t="shared" si="62"/>
        <v>7.2799999999999994</v>
      </c>
    </row>
    <row r="587" spans="1:12" x14ac:dyDescent="0.25">
      <c r="A587" s="1" t="s">
        <v>15</v>
      </c>
      <c r="B587" s="9" t="s">
        <v>1762</v>
      </c>
      <c r="C587" s="3" t="s">
        <v>1763</v>
      </c>
      <c r="D587" s="4" t="s">
        <v>1764</v>
      </c>
      <c r="F587" s="5">
        <f t="shared" si="58"/>
        <v>13</v>
      </c>
      <c r="G587" s="10">
        <v>2.6</v>
      </c>
      <c r="H587" s="7">
        <v>10.4</v>
      </c>
      <c r="I587" s="1">
        <f t="shared" si="59"/>
        <v>0.78</v>
      </c>
      <c r="J587">
        <f t="shared" si="60"/>
        <v>3.12</v>
      </c>
      <c r="K587">
        <f t="shared" si="61"/>
        <v>1.8199999999999998</v>
      </c>
      <c r="L587">
        <f t="shared" si="62"/>
        <v>7.2799999999999994</v>
      </c>
    </row>
    <row r="588" spans="1:12" x14ac:dyDescent="0.25">
      <c r="A588" s="1" t="s">
        <v>15</v>
      </c>
      <c r="B588" s="9" t="s">
        <v>1765</v>
      </c>
      <c r="C588" s="3" t="s">
        <v>1766</v>
      </c>
      <c r="D588" s="4" t="s">
        <v>1767</v>
      </c>
      <c r="F588" s="5">
        <f t="shared" si="58"/>
        <v>13</v>
      </c>
      <c r="G588" s="10">
        <v>2.6</v>
      </c>
      <c r="H588" s="7">
        <v>10.4</v>
      </c>
      <c r="I588" s="1">
        <f t="shared" si="59"/>
        <v>0.78</v>
      </c>
      <c r="J588">
        <f t="shared" si="60"/>
        <v>3.12</v>
      </c>
      <c r="K588">
        <f t="shared" si="61"/>
        <v>1.8199999999999998</v>
      </c>
      <c r="L588">
        <f t="shared" si="62"/>
        <v>7.2799999999999994</v>
      </c>
    </row>
    <row r="589" spans="1:12" x14ac:dyDescent="0.25">
      <c r="A589" s="1" t="s">
        <v>15</v>
      </c>
      <c r="B589" s="9" t="s">
        <v>1768</v>
      </c>
      <c r="C589" s="3" t="s">
        <v>1769</v>
      </c>
      <c r="D589" s="4" t="s">
        <v>1770</v>
      </c>
      <c r="F589" s="5">
        <f t="shared" si="58"/>
        <v>175.5</v>
      </c>
      <c r="G589" s="10">
        <v>52</v>
      </c>
      <c r="H589" s="7">
        <v>123.5</v>
      </c>
      <c r="I589" s="1">
        <f t="shared" si="59"/>
        <v>15.6</v>
      </c>
      <c r="J589">
        <f t="shared" si="60"/>
        <v>37.049999999999997</v>
      </c>
      <c r="K589">
        <f t="shared" si="61"/>
        <v>36.4</v>
      </c>
      <c r="L589">
        <f t="shared" si="62"/>
        <v>86.449999999999989</v>
      </c>
    </row>
    <row r="590" spans="1:12" x14ac:dyDescent="0.25">
      <c r="A590" s="1" t="s">
        <v>15</v>
      </c>
      <c r="B590" s="9" t="s">
        <v>1771</v>
      </c>
      <c r="C590" s="3" t="s">
        <v>1772</v>
      </c>
      <c r="D590" s="4" t="s">
        <v>1773</v>
      </c>
      <c r="F590" s="5">
        <f t="shared" si="58"/>
        <v>32.5</v>
      </c>
      <c r="G590" s="10">
        <v>13</v>
      </c>
      <c r="H590" s="7">
        <v>19.5</v>
      </c>
      <c r="I590" s="1">
        <f t="shared" si="59"/>
        <v>3.9</v>
      </c>
      <c r="J590">
        <f t="shared" si="60"/>
        <v>5.85</v>
      </c>
      <c r="K590">
        <f t="shared" si="61"/>
        <v>9.1</v>
      </c>
      <c r="L590">
        <f t="shared" si="62"/>
        <v>13.649999999999999</v>
      </c>
    </row>
    <row r="591" spans="1:12" x14ac:dyDescent="0.25">
      <c r="A591" s="1" t="s">
        <v>15</v>
      </c>
      <c r="B591" s="9" t="s">
        <v>1774</v>
      </c>
      <c r="C591" s="3" t="s">
        <v>1775</v>
      </c>
      <c r="D591" s="4" t="s">
        <v>1776</v>
      </c>
      <c r="F591" s="5">
        <f t="shared" si="58"/>
        <v>6.5</v>
      </c>
      <c r="G591" s="10">
        <v>2.6</v>
      </c>
      <c r="H591" s="7">
        <v>3.9000000000000004</v>
      </c>
      <c r="I591" s="1">
        <f t="shared" si="59"/>
        <v>0.78</v>
      </c>
      <c r="J591">
        <f t="shared" si="60"/>
        <v>1.1700000000000002</v>
      </c>
      <c r="K591">
        <f t="shared" si="61"/>
        <v>1.8199999999999998</v>
      </c>
      <c r="L591">
        <f t="shared" si="62"/>
        <v>2.73</v>
      </c>
    </row>
    <row r="592" spans="1:12" x14ac:dyDescent="0.25">
      <c r="A592" s="1" t="s">
        <v>15</v>
      </c>
      <c r="B592" s="9" t="s">
        <v>1777</v>
      </c>
      <c r="C592" s="3" t="s">
        <v>1778</v>
      </c>
      <c r="D592" s="4" t="s">
        <v>1779</v>
      </c>
      <c r="F592" s="5">
        <f t="shared" si="58"/>
        <v>6.5</v>
      </c>
      <c r="G592" s="10">
        <v>2.6</v>
      </c>
      <c r="H592" s="7">
        <v>3.9000000000000004</v>
      </c>
      <c r="I592" s="1">
        <f t="shared" si="59"/>
        <v>0.78</v>
      </c>
      <c r="J592">
        <f t="shared" si="60"/>
        <v>1.1700000000000002</v>
      </c>
      <c r="K592">
        <f t="shared" si="61"/>
        <v>1.8199999999999998</v>
      </c>
      <c r="L592">
        <f t="shared" si="62"/>
        <v>2.73</v>
      </c>
    </row>
    <row r="593" spans="1:12" x14ac:dyDescent="0.25">
      <c r="A593" s="1" t="s">
        <v>15</v>
      </c>
      <c r="B593" s="9" t="s">
        <v>1780</v>
      </c>
      <c r="C593" s="3" t="s">
        <v>1781</v>
      </c>
      <c r="D593" s="4" t="s">
        <v>1782</v>
      </c>
      <c r="F593" s="5">
        <f t="shared" si="58"/>
        <v>6.5</v>
      </c>
      <c r="G593" s="10">
        <v>2.6</v>
      </c>
      <c r="H593" s="7">
        <v>3.9000000000000004</v>
      </c>
      <c r="I593" s="1">
        <f t="shared" si="59"/>
        <v>0.78</v>
      </c>
      <c r="J593">
        <f t="shared" si="60"/>
        <v>1.1700000000000002</v>
      </c>
      <c r="K593">
        <f t="shared" si="61"/>
        <v>1.8199999999999998</v>
      </c>
      <c r="L593">
        <f t="shared" si="62"/>
        <v>2.73</v>
      </c>
    </row>
    <row r="594" spans="1:12" x14ac:dyDescent="0.25">
      <c r="A594" s="1" t="s">
        <v>15</v>
      </c>
      <c r="B594" s="9" t="s">
        <v>1783</v>
      </c>
      <c r="C594" s="3" t="s">
        <v>1784</v>
      </c>
      <c r="D594" s="4" t="s">
        <v>1785</v>
      </c>
      <c r="F594" s="5">
        <f t="shared" si="58"/>
        <v>6.5</v>
      </c>
      <c r="G594" s="10">
        <v>2.6</v>
      </c>
      <c r="H594" s="7">
        <v>3.9000000000000004</v>
      </c>
      <c r="I594" s="1">
        <f t="shared" si="59"/>
        <v>0.78</v>
      </c>
      <c r="J594">
        <f t="shared" si="60"/>
        <v>1.1700000000000002</v>
      </c>
      <c r="K594">
        <f t="shared" si="61"/>
        <v>1.8199999999999998</v>
      </c>
      <c r="L594">
        <f t="shared" si="62"/>
        <v>2.73</v>
      </c>
    </row>
    <row r="595" spans="1:12" x14ac:dyDescent="0.25">
      <c r="A595" s="1" t="s">
        <v>15</v>
      </c>
      <c r="B595" s="9" t="s">
        <v>1786</v>
      </c>
      <c r="C595" s="3" t="s">
        <v>1787</v>
      </c>
      <c r="D595" s="4" t="s">
        <v>1788</v>
      </c>
      <c r="F595" s="5">
        <f t="shared" si="58"/>
        <v>9.1</v>
      </c>
      <c r="G595" s="10">
        <v>2.6</v>
      </c>
      <c r="H595" s="7">
        <v>6.5</v>
      </c>
      <c r="I595" s="1">
        <f t="shared" si="59"/>
        <v>0.78</v>
      </c>
      <c r="J595">
        <f t="shared" si="60"/>
        <v>1.95</v>
      </c>
      <c r="K595">
        <f t="shared" si="61"/>
        <v>1.8199999999999998</v>
      </c>
      <c r="L595">
        <f t="shared" si="62"/>
        <v>4.55</v>
      </c>
    </row>
    <row r="596" spans="1:12" x14ac:dyDescent="0.25">
      <c r="A596" s="1" t="s">
        <v>15</v>
      </c>
      <c r="B596" s="9" t="s">
        <v>1789</v>
      </c>
      <c r="C596" s="3" t="s">
        <v>1790</v>
      </c>
      <c r="D596" s="4" t="s">
        <v>1791</v>
      </c>
      <c r="F596" s="5">
        <f t="shared" si="58"/>
        <v>9.1</v>
      </c>
      <c r="G596" s="10">
        <v>2.6</v>
      </c>
      <c r="H596" s="7">
        <v>6.5</v>
      </c>
      <c r="I596" s="1">
        <f t="shared" si="59"/>
        <v>0.78</v>
      </c>
      <c r="J596">
        <f t="shared" si="60"/>
        <v>1.95</v>
      </c>
      <c r="K596">
        <f t="shared" si="61"/>
        <v>1.8199999999999998</v>
      </c>
      <c r="L596">
        <f t="shared" si="62"/>
        <v>4.55</v>
      </c>
    </row>
    <row r="597" spans="1:12" x14ac:dyDescent="0.25">
      <c r="A597" s="1" t="s">
        <v>15</v>
      </c>
      <c r="B597" s="9" t="s">
        <v>1792</v>
      </c>
      <c r="C597" s="3" t="s">
        <v>1793</v>
      </c>
      <c r="D597" s="4" t="s">
        <v>1794</v>
      </c>
      <c r="F597" s="5">
        <f>G597+H597</f>
        <v>23.4</v>
      </c>
      <c r="G597" s="10">
        <v>10.4</v>
      </c>
      <c r="H597" s="7">
        <v>13</v>
      </c>
      <c r="I597" s="1">
        <f t="shared" si="59"/>
        <v>3.12</v>
      </c>
      <c r="J597">
        <f t="shared" si="60"/>
        <v>3.9</v>
      </c>
      <c r="K597">
        <f t="shared" si="61"/>
        <v>7.2799999999999994</v>
      </c>
      <c r="L597">
        <f t="shared" si="62"/>
        <v>9.1</v>
      </c>
    </row>
    <row r="598" spans="1:12" x14ac:dyDescent="0.25">
      <c r="A598" s="1" t="s">
        <v>15</v>
      </c>
      <c r="B598" s="9" t="s">
        <v>1795</v>
      </c>
      <c r="C598" s="3" t="s">
        <v>1796</v>
      </c>
      <c r="D598" s="4" t="s">
        <v>1797</v>
      </c>
      <c r="F598" s="5">
        <f t="shared" si="58"/>
        <v>9.1</v>
      </c>
      <c r="G598" s="10">
        <v>2.6</v>
      </c>
      <c r="H598" s="7">
        <v>6.5</v>
      </c>
      <c r="I598" s="1">
        <f t="shared" si="59"/>
        <v>0.78</v>
      </c>
      <c r="J598">
        <f t="shared" si="60"/>
        <v>1.95</v>
      </c>
      <c r="K598">
        <f t="shared" si="61"/>
        <v>1.8199999999999998</v>
      </c>
      <c r="L598">
        <f t="shared" si="62"/>
        <v>4.55</v>
      </c>
    </row>
    <row r="599" spans="1:12" x14ac:dyDescent="0.25">
      <c r="A599" s="1" t="s">
        <v>15</v>
      </c>
      <c r="B599" s="9" t="s">
        <v>1798</v>
      </c>
      <c r="C599" s="3" t="s">
        <v>1799</v>
      </c>
      <c r="D599" s="4" t="s">
        <v>1800</v>
      </c>
      <c r="F599" s="5">
        <f t="shared" si="58"/>
        <v>6.5</v>
      </c>
      <c r="G599" s="10">
        <v>2.6</v>
      </c>
      <c r="H599" s="7">
        <v>3.9000000000000004</v>
      </c>
      <c r="I599" s="1">
        <f t="shared" si="59"/>
        <v>0.78</v>
      </c>
      <c r="J599">
        <f t="shared" si="60"/>
        <v>1.1700000000000002</v>
      </c>
      <c r="K599">
        <f t="shared" si="61"/>
        <v>1.8199999999999998</v>
      </c>
      <c r="L599">
        <f t="shared" si="62"/>
        <v>2.73</v>
      </c>
    </row>
    <row r="600" spans="1:12" x14ac:dyDescent="0.25">
      <c r="A600" s="1" t="s">
        <v>15</v>
      </c>
      <c r="B600" s="9" t="s">
        <v>1801</v>
      </c>
      <c r="C600" s="3" t="s">
        <v>1802</v>
      </c>
      <c r="D600" s="4" t="s">
        <v>1803</v>
      </c>
      <c r="F600" s="5">
        <f t="shared" si="58"/>
        <v>6.5</v>
      </c>
      <c r="G600" s="10">
        <v>2.6</v>
      </c>
      <c r="H600" s="7">
        <v>3.9000000000000004</v>
      </c>
      <c r="I600" s="1">
        <f t="shared" si="59"/>
        <v>0.78</v>
      </c>
      <c r="J600">
        <f t="shared" si="60"/>
        <v>1.1700000000000002</v>
      </c>
      <c r="K600">
        <f t="shared" si="61"/>
        <v>1.8199999999999998</v>
      </c>
      <c r="L600">
        <f t="shared" si="62"/>
        <v>2.73</v>
      </c>
    </row>
    <row r="601" spans="1:12" x14ac:dyDescent="0.25">
      <c r="A601" s="1" t="s">
        <v>15</v>
      </c>
      <c r="B601" s="9" t="s">
        <v>1804</v>
      </c>
      <c r="C601" s="3" t="s">
        <v>1805</v>
      </c>
      <c r="D601" s="4" t="s">
        <v>1806</v>
      </c>
      <c r="F601" s="5">
        <f t="shared" si="58"/>
        <v>6.5</v>
      </c>
      <c r="G601" s="10">
        <v>2.6</v>
      </c>
      <c r="H601" s="7">
        <v>3.9000000000000004</v>
      </c>
      <c r="I601" s="1">
        <f t="shared" si="59"/>
        <v>0.78</v>
      </c>
      <c r="J601">
        <f t="shared" si="60"/>
        <v>1.1700000000000002</v>
      </c>
      <c r="K601">
        <f t="shared" si="61"/>
        <v>1.8199999999999998</v>
      </c>
      <c r="L601">
        <f t="shared" si="62"/>
        <v>2.73</v>
      </c>
    </row>
    <row r="602" spans="1:12" x14ac:dyDescent="0.25">
      <c r="A602" s="1" t="s">
        <v>15</v>
      </c>
      <c r="B602" s="9" t="s">
        <v>1807</v>
      </c>
      <c r="C602" s="3" t="s">
        <v>1808</v>
      </c>
      <c r="D602" s="4" t="s">
        <v>1809</v>
      </c>
      <c r="F602" s="5">
        <f t="shared" si="58"/>
        <v>6.5</v>
      </c>
      <c r="G602" s="10">
        <v>2.6</v>
      </c>
      <c r="H602" s="7">
        <v>3.9000000000000004</v>
      </c>
      <c r="I602" s="1">
        <f t="shared" si="59"/>
        <v>0.78</v>
      </c>
      <c r="J602">
        <f t="shared" si="60"/>
        <v>1.1700000000000002</v>
      </c>
      <c r="K602">
        <f t="shared" si="61"/>
        <v>1.8199999999999998</v>
      </c>
      <c r="L602">
        <f t="shared" si="62"/>
        <v>2.73</v>
      </c>
    </row>
    <row r="603" spans="1:12" x14ac:dyDescent="0.25">
      <c r="A603" s="1" t="s">
        <v>15</v>
      </c>
      <c r="B603" s="9" t="s">
        <v>1810</v>
      </c>
      <c r="C603" s="3" t="s">
        <v>1811</v>
      </c>
      <c r="D603" s="4" t="s">
        <v>1812</v>
      </c>
      <c r="F603" s="5">
        <f t="shared" si="58"/>
        <v>6.5</v>
      </c>
      <c r="G603" s="10">
        <v>2.6</v>
      </c>
      <c r="H603" s="7">
        <v>3.9000000000000004</v>
      </c>
      <c r="I603" s="1">
        <f t="shared" si="59"/>
        <v>0.78</v>
      </c>
      <c r="J603">
        <f t="shared" si="60"/>
        <v>1.1700000000000002</v>
      </c>
      <c r="K603">
        <f t="shared" si="61"/>
        <v>1.8199999999999998</v>
      </c>
      <c r="L603">
        <f t="shared" si="62"/>
        <v>2.73</v>
      </c>
    </row>
    <row r="604" spans="1:12" x14ac:dyDescent="0.25">
      <c r="A604" s="1" t="s">
        <v>15</v>
      </c>
      <c r="B604" s="9" t="s">
        <v>1813</v>
      </c>
      <c r="C604" s="3" t="s">
        <v>1814</v>
      </c>
      <c r="D604" s="4" t="s">
        <v>1815</v>
      </c>
      <c r="F604" s="5">
        <f t="shared" si="58"/>
        <v>9.1</v>
      </c>
      <c r="G604" s="10">
        <v>2.6</v>
      </c>
      <c r="H604" s="7">
        <v>6.5</v>
      </c>
      <c r="I604" s="1">
        <f t="shared" si="59"/>
        <v>0.78</v>
      </c>
      <c r="J604">
        <f t="shared" si="60"/>
        <v>1.95</v>
      </c>
      <c r="K604">
        <f t="shared" si="61"/>
        <v>1.8199999999999998</v>
      </c>
      <c r="L604">
        <f t="shared" si="62"/>
        <v>4.55</v>
      </c>
    </row>
    <row r="605" spans="1:12" x14ac:dyDescent="0.25">
      <c r="A605" s="1" t="s">
        <v>15</v>
      </c>
      <c r="B605" s="9" t="s">
        <v>1816</v>
      </c>
      <c r="C605" s="3" t="s">
        <v>1817</v>
      </c>
      <c r="D605" s="4" t="s">
        <v>1818</v>
      </c>
      <c r="F605" s="5">
        <f t="shared" si="58"/>
        <v>9.1</v>
      </c>
      <c r="G605" s="10">
        <v>2.6</v>
      </c>
      <c r="H605" s="7">
        <v>6.5</v>
      </c>
      <c r="I605" s="1">
        <f t="shared" si="59"/>
        <v>0.78</v>
      </c>
      <c r="J605">
        <f t="shared" si="60"/>
        <v>1.95</v>
      </c>
      <c r="K605">
        <f t="shared" si="61"/>
        <v>1.8199999999999998</v>
      </c>
      <c r="L605">
        <f t="shared" si="62"/>
        <v>4.55</v>
      </c>
    </row>
    <row r="606" spans="1:12" x14ac:dyDescent="0.25">
      <c r="A606" s="1" t="s">
        <v>15</v>
      </c>
      <c r="B606" s="9" t="s">
        <v>1819</v>
      </c>
      <c r="C606" s="3" t="s">
        <v>1820</v>
      </c>
      <c r="D606" s="4" t="s">
        <v>1821</v>
      </c>
      <c r="F606" s="5">
        <f t="shared" si="58"/>
        <v>9.1</v>
      </c>
      <c r="G606" s="10">
        <v>2.6</v>
      </c>
      <c r="H606" s="7">
        <v>6.5</v>
      </c>
      <c r="I606" s="1">
        <f t="shared" si="59"/>
        <v>0.78</v>
      </c>
      <c r="J606">
        <f t="shared" si="60"/>
        <v>1.95</v>
      </c>
      <c r="K606">
        <f t="shared" si="61"/>
        <v>1.8199999999999998</v>
      </c>
      <c r="L606">
        <f t="shared" si="62"/>
        <v>4.55</v>
      </c>
    </row>
    <row r="607" spans="1:12" x14ac:dyDescent="0.25">
      <c r="A607" s="1" t="s">
        <v>15</v>
      </c>
      <c r="B607" s="9" t="s">
        <v>1822</v>
      </c>
      <c r="C607" s="3" t="s">
        <v>1823</v>
      </c>
      <c r="D607" s="4" t="s">
        <v>1824</v>
      </c>
      <c r="F607" s="5">
        <f t="shared" si="58"/>
        <v>9.1</v>
      </c>
      <c r="G607" s="10">
        <v>2.6</v>
      </c>
      <c r="H607" s="7">
        <v>6.5</v>
      </c>
      <c r="I607" s="1">
        <f t="shared" si="59"/>
        <v>0.78</v>
      </c>
      <c r="J607">
        <f t="shared" si="60"/>
        <v>1.95</v>
      </c>
      <c r="K607">
        <f t="shared" si="61"/>
        <v>1.8199999999999998</v>
      </c>
      <c r="L607">
        <f t="shared" si="62"/>
        <v>4.55</v>
      </c>
    </row>
    <row r="608" spans="1:12" x14ac:dyDescent="0.25">
      <c r="A608" s="1" t="s">
        <v>15</v>
      </c>
      <c r="B608" s="9" t="s">
        <v>1825</v>
      </c>
      <c r="C608" s="3" t="s">
        <v>1826</v>
      </c>
      <c r="D608" s="4" t="s">
        <v>1827</v>
      </c>
      <c r="F608" s="5">
        <f t="shared" si="58"/>
        <v>6.5</v>
      </c>
      <c r="G608" s="10">
        <v>2.6</v>
      </c>
      <c r="H608" s="7">
        <v>3.9000000000000004</v>
      </c>
      <c r="I608" s="1">
        <f t="shared" si="59"/>
        <v>0.78</v>
      </c>
      <c r="J608">
        <f t="shared" si="60"/>
        <v>1.1700000000000002</v>
      </c>
      <c r="K608">
        <f t="shared" si="61"/>
        <v>1.8199999999999998</v>
      </c>
      <c r="L608">
        <f t="shared" si="62"/>
        <v>2.73</v>
      </c>
    </row>
    <row r="609" spans="1:12" x14ac:dyDescent="0.25">
      <c r="A609" s="1" t="s">
        <v>15</v>
      </c>
      <c r="B609" s="9" t="s">
        <v>1828</v>
      </c>
      <c r="C609" s="3" t="s">
        <v>1829</v>
      </c>
      <c r="D609" s="4" t="s">
        <v>1830</v>
      </c>
      <c r="F609" s="5">
        <f t="shared" si="58"/>
        <v>6.5</v>
      </c>
      <c r="G609" s="10">
        <v>2.6</v>
      </c>
      <c r="H609" s="7">
        <v>3.9000000000000004</v>
      </c>
      <c r="I609" s="1">
        <f t="shared" si="59"/>
        <v>0.78</v>
      </c>
      <c r="J609">
        <f t="shared" si="60"/>
        <v>1.1700000000000002</v>
      </c>
      <c r="K609">
        <f t="shared" si="61"/>
        <v>1.8199999999999998</v>
      </c>
      <c r="L609">
        <f t="shared" si="62"/>
        <v>2.73</v>
      </c>
    </row>
    <row r="610" spans="1:12" x14ac:dyDescent="0.25">
      <c r="A610" s="1" t="s">
        <v>15</v>
      </c>
      <c r="B610" s="9" t="s">
        <v>1831</v>
      </c>
      <c r="C610" s="3" t="s">
        <v>1832</v>
      </c>
      <c r="D610" s="4" t="s">
        <v>1833</v>
      </c>
      <c r="F610" s="5">
        <f t="shared" si="58"/>
        <v>6.5</v>
      </c>
      <c r="G610" s="10">
        <v>2.6</v>
      </c>
      <c r="H610" s="7">
        <v>3.9000000000000004</v>
      </c>
      <c r="I610" s="1">
        <f t="shared" si="59"/>
        <v>0.78</v>
      </c>
      <c r="J610">
        <f t="shared" si="60"/>
        <v>1.1700000000000002</v>
      </c>
      <c r="K610">
        <f t="shared" si="61"/>
        <v>1.8199999999999998</v>
      </c>
      <c r="L610">
        <f t="shared" si="62"/>
        <v>2.73</v>
      </c>
    </row>
    <row r="611" spans="1:12" x14ac:dyDescent="0.25">
      <c r="A611" s="1" t="s">
        <v>15</v>
      </c>
      <c r="B611" s="9" t="s">
        <v>1834</v>
      </c>
      <c r="C611" s="3" t="s">
        <v>1835</v>
      </c>
      <c r="D611" s="4" t="s">
        <v>1836</v>
      </c>
      <c r="F611" s="5">
        <f t="shared" ref="F611:F706" si="63">G611+H611</f>
        <v>6.5</v>
      </c>
      <c r="G611" s="10">
        <v>2.6</v>
      </c>
      <c r="H611" s="7">
        <v>3.9000000000000004</v>
      </c>
      <c r="I611" s="1">
        <f t="shared" si="59"/>
        <v>0.78</v>
      </c>
      <c r="J611">
        <f t="shared" si="60"/>
        <v>1.1700000000000002</v>
      </c>
      <c r="K611">
        <f t="shared" si="61"/>
        <v>1.8199999999999998</v>
      </c>
      <c r="L611">
        <f t="shared" si="62"/>
        <v>2.73</v>
      </c>
    </row>
    <row r="612" spans="1:12" x14ac:dyDescent="0.25">
      <c r="A612" s="1" t="s">
        <v>15</v>
      </c>
      <c r="B612" s="9" t="s">
        <v>1837</v>
      </c>
      <c r="C612" s="3" t="s">
        <v>1838</v>
      </c>
      <c r="D612" s="4" t="s">
        <v>1839</v>
      </c>
      <c r="F612" s="5">
        <f t="shared" si="63"/>
        <v>6.5</v>
      </c>
      <c r="G612" s="10">
        <v>2.6</v>
      </c>
      <c r="H612" s="7">
        <v>3.9000000000000004</v>
      </c>
      <c r="I612" s="1">
        <f t="shared" si="59"/>
        <v>0.78</v>
      </c>
      <c r="J612">
        <f t="shared" si="60"/>
        <v>1.1700000000000002</v>
      </c>
      <c r="K612">
        <f t="shared" si="61"/>
        <v>1.8199999999999998</v>
      </c>
      <c r="L612">
        <f t="shared" si="62"/>
        <v>2.73</v>
      </c>
    </row>
    <row r="613" spans="1:12" x14ac:dyDescent="0.25">
      <c r="A613" s="1" t="s">
        <v>15</v>
      </c>
      <c r="B613" s="9" t="s">
        <v>1840</v>
      </c>
      <c r="C613" s="3" t="s">
        <v>1841</v>
      </c>
      <c r="D613" s="4" t="s">
        <v>1842</v>
      </c>
      <c r="F613" s="5">
        <f t="shared" si="63"/>
        <v>6.5</v>
      </c>
      <c r="G613" s="10">
        <v>2.6</v>
      </c>
      <c r="H613" s="7">
        <v>3.9000000000000004</v>
      </c>
      <c r="I613" s="1">
        <f t="shared" si="59"/>
        <v>0.78</v>
      </c>
      <c r="J613">
        <f t="shared" si="60"/>
        <v>1.1700000000000002</v>
      </c>
      <c r="K613">
        <f t="shared" si="61"/>
        <v>1.8199999999999998</v>
      </c>
      <c r="L613">
        <f t="shared" si="62"/>
        <v>2.73</v>
      </c>
    </row>
    <row r="614" spans="1:12" x14ac:dyDescent="0.25">
      <c r="A614" s="1" t="s">
        <v>15</v>
      </c>
      <c r="B614" s="9" t="s">
        <v>1843</v>
      </c>
      <c r="C614" s="3" t="s">
        <v>1844</v>
      </c>
      <c r="D614" s="4" t="s">
        <v>1845</v>
      </c>
      <c r="F614" s="5">
        <f t="shared" si="63"/>
        <v>6.5</v>
      </c>
      <c r="G614" s="10">
        <v>2.6</v>
      </c>
      <c r="H614" s="7">
        <v>3.9000000000000004</v>
      </c>
      <c r="I614" s="1">
        <f t="shared" si="59"/>
        <v>0.78</v>
      </c>
      <c r="J614">
        <f t="shared" si="60"/>
        <v>1.1700000000000002</v>
      </c>
      <c r="K614">
        <f t="shared" si="61"/>
        <v>1.8199999999999998</v>
      </c>
      <c r="L614">
        <f t="shared" si="62"/>
        <v>2.73</v>
      </c>
    </row>
    <row r="615" spans="1:12" x14ac:dyDescent="0.25">
      <c r="A615" s="1" t="s">
        <v>15</v>
      </c>
      <c r="B615" s="9" t="s">
        <v>1846</v>
      </c>
      <c r="C615" s="3" t="s">
        <v>1847</v>
      </c>
      <c r="D615" s="4" t="s">
        <v>1848</v>
      </c>
      <c r="F615" s="5">
        <f t="shared" si="63"/>
        <v>6.5</v>
      </c>
      <c r="G615" s="10">
        <v>2.6</v>
      </c>
      <c r="H615" s="7">
        <v>3.9000000000000004</v>
      </c>
      <c r="I615" s="1">
        <f t="shared" si="59"/>
        <v>0.78</v>
      </c>
      <c r="J615">
        <f t="shared" si="60"/>
        <v>1.1700000000000002</v>
      </c>
      <c r="K615">
        <f t="shared" si="61"/>
        <v>1.8199999999999998</v>
      </c>
      <c r="L615">
        <f t="shared" si="62"/>
        <v>2.73</v>
      </c>
    </row>
    <row r="616" spans="1:12" x14ac:dyDescent="0.25">
      <c r="A616" s="1" t="s">
        <v>15</v>
      </c>
      <c r="B616" s="9" t="s">
        <v>1849</v>
      </c>
      <c r="C616" s="3" t="s">
        <v>1850</v>
      </c>
      <c r="D616" s="4" t="s">
        <v>1851</v>
      </c>
      <c r="F616" s="5">
        <f t="shared" si="63"/>
        <v>6.5</v>
      </c>
      <c r="G616" s="10">
        <v>2.6</v>
      </c>
      <c r="H616" s="7">
        <v>3.9000000000000004</v>
      </c>
      <c r="I616" s="1">
        <f t="shared" si="59"/>
        <v>0.78</v>
      </c>
      <c r="J616">
        <f t="shared" si="60"/>
        <v>1.1700000000000002</v>
      </c>
      <c r="K616">
        <f t="shared" si="61"/>
        <v>1.8199999999999998</v>
      </c>
      <c r="L616">
        <f t="shared" si="62"/>
        <v>2.73</v>
      </c>
    </row>
    <row r="617" spans="1:12" x14ac:dyDescent="0.25">
      <c r="A617" s="1" t="s">
        <v>15</v>
      </c>
      <c r="B617" s="9" t="s">
        <v>1852</v>
      </c>
      <c r="C617" s="3" t="s">
        <v>1853</v>
      </c>
      <c r="D617" s="4" t="s">
        <v>1854</v>
      </c>
      <c r="F617" s="5">
        <f t="shared" si="63"/>
        <v>6.5</v>
      </c>
      <c r="G617" s="10">
        <v>2.6</v>
      </c>
      <c r="H617" s="7">
        <v>3.9000000000000004</v>
      </c>
      <c r="I617" s="1">
        <f t="shared" si="59"/>
        <v>0.78</v>
      </c>
      <c r="J617">
        <f t="shared" si="60"/>
        <v>1.1700000000000002</v>
      </c>
      <c r="K617">
        <f t="shared" si="61"/>
        <v>1.8199999999999998</v>
      </c>
      <c r="L617">
        <f t="shared" si="62"/>
        <v>2.73</v>
      </c>
    </row>
    <row r="618" spans="1:12" x14ac:dyDescent="0.25">
      <c r="A618" s="1" t="s">
        <v>15</v>
      </c>
      <c r="B618" s="9" t="s">
        <v>1855</v>
      </c>
      <c r="C618" s="3" t="s">
        <v>1856</v>
      </c>
      <c r="D618" s="4" t="s">
        <v>1857</v>
      </c>
      <c r="F618" s="5">
        <f t="shared" si="63"/>
        <v>6.5</v>
      </c>
      <c r="G618" s="10">
        <v>2.6</v>
      </c>
      <c r="H618" s="7">
        <v>3.9000000000000004</v>
      </c>
      <c r="I618" s="1">
        <f t="shared" si="59"/>
        <v>0.78</v>
      </c>
      <c r="J618">
        <f t="shared" si="60"/>
        <v>1.1700000000000002</v>
      </c>
      <c r="K618">
        <f t="shared" si="61"/>
        <v>1.8199999999999998</v>
      </c>
      <c r="L618">
        <f t="shared" si="62"/>
        <v>2.73</v>
      </c>
    </row>
    <row r="619" spans="1:12" x14ac:dyDescent="0.25">
      <c r="A619" s="1" t="s">
        <v>15</v>
      </c>
      <c r="B619" s="9" t="s">
        <v>1858</v>
      </c>
      <c r="C619" s="3" t="s">
        <v>1859</v>
      </c>
      <c r="D619" s="4" t="s">
        <v>1860</v>
      </c>
      <c r="F619" s="5">
        <f t="shared" si="63"/>
        <v>6.5</v>
      </c>
      <c r="G619" s="10">
        <v>2.6</v>
      </c>
      <c r="H619" s="7">
        <v>3.9000000000000004</v>
      </c>
      <c r="I619" s="1">
        <f t="shared" si="59"/>
        <v>0.78</v>
      </c>
      <c r="J619">
        <f t="shared" si="60"/>
        <v>1.1700000000000002</v>
      </c>
      <c r="K619">
        <f t="shared" si="61"/>
        <v>1.8199999999999998</v>
      </c>
      <c r="L619">
        <f t="shared" si="62"/>
        <v>2.73</v>
      </c>
    </row>
    <row r="620" spans="1:12" x14ac:dyDescent="0.25">
      <c r="A620" s="1" t="s">
        <v>15</v>
      </c>
      <c r="B620" s="9" t="s">
        <v>1861</v>
      </c>
      <c r="C620" s="3" t="s">
        <v>1862</v>
      </c>
      <c r="D620" s="4" t="s">
        <v>1863</v>
      </c>
      <c r="F620" s="5">
        <f t="shared" si="63"/>
        <v>6.5</v>
      </c>
      <c r="G620" s="10">
        <v>2.6</v>
      </c>
      <c r="H620" s="7">
        <v>3.9000000000000004</v>
      </c>
      <c r="I620" s="1">
        <f t="shared" si="59"/>
        <v>0.78</v>
      </c>
      <c r="J620">
        <f t="shared" si="60"/>
        <v>1.1700000000000002</v>
      </c>
      <c r="K620">
        <f t="shared" si="61"/>
        <v>1.8199999999999998</v>
      </c>
      <c r="L620">
        <f t="shared" si="62"/>
        <v>2.73</v>
      </c>
    </row>
    <row r="621" spans="1:12" x14ac:dyDescent="0.25">
      <c r="A621" s="1" t="s">
        <v>15</v>
      </c>
      <c r="B621" s="9" t="s">
        <v>1864</v>
      </c>
      <c r="C621" s="3" t="s">
        <v>1865</v>
      </c>
      <c r="D621" s="4" t="s">
        <v>1866</v>
      </c>
      <c r="F621" s="5">
        <f t="shared" si="63"/>
        <v>6.5</v>
      </c>
      <c r="G621" s="10">
        <v>2.6</v>
      </c>
      <c r="H621" s="7">
        <v>3.9000000000000004</v>
      </c>
      <c r="I621" s="1">
        <f t="shared" si="59"/>
        <v>0.78</v>
      </c>
      <c r="J621">
        <f t="shared" si="60"/>
        <v>1.1700000000000002</v>
      </c>
      <c r="K621">
        <f t="shared" si="61"/>
        <v>1.8199999999999998</v>
      </c>
      <c r="L621">
        <f t="shared" si="62"/>
        <v>2.73</v>
      </c>
    </row>
    <row r="622" spans="1:12" x14ac:dyDescent="0.25">
      <c r="A622" s="1" t="s">
        <v>15</v>
      </c>
      <c r="B622" s="9" t="s">
        <v>1867</v>
      </c>
      <c r="C622" s="3" t="s">
        <v>1868</v>
      </c>
      <c r="D622" s="4" t="s">
        <v>1869</v>
      </c>
      <c r="F622" s="5">
        <f t="shared" si="63"/>
        <v>6.5</v>
      </c>
      <c r="G622" s="10">
        <v>2.6</v>
      </c>
      <c r="H622" s="7">
        <v>3.9000000000000004</v>
      </c>
      <c r="I622" s="1">
        <f t="shared" si="59"/>
        <v>0.78</v>
      </c>
      <c r="J622">
        <f t="shared" si="60"/>
        <v>1.1700000000000002</v>
      </c>
      <c r="K622">
        <f t="shared" si="61"/>
        <v>1.8199999999999998</v>
      </c>
      <c r="L622">
        <f t="shared" si="62"/>
        <v>2.73</v>
      </c>
    </row>
    <row r="623" spans="1:12" x14ac:dyDescent="0.25">
      <c r="A623" s="1" t="s">
        <v>15</v>
      </c>
      <c r="B623" s="9" t="s">
        <v>1870</v>
      </c>
      <c r="C623" s="3" t="s">
        <v>1871</v>
      </c>
      <c r="D623" s="4" t="s">
        <v>1872</v>
      </c>
      <c r="F623" s="5">
        <f t="shared" si="63"/>
        <v>6.5</v>
      </c>
      <c r="G623" s="10">
        <v>2.6</v>
      </c>
      <c r="H623" s="7">
        <v>3.9000000000000004</v>
      </c>
      <c r="I623" s="1">
        <f t="shared" si="59"/>
        <v>0.78</v>
      </c>
      <c r="J623">
        <f t="shared" si="60"/>
        <v>1.1700000000000002</v>
      </c>
      <c r="K623">
        <f t="shared" si="61"/>
        <v>1.8199999999999998</v>
      </c>
      <c r="L623">
        <f t="shared" si="62"/>
        <v>2.73</v>
      </c>
    </row>
    <row r="624" spans="1:12" x14ac:dyDescent="0.25">
      <c r="A624" s="1" t="s">
        <v>15</v>
      </c>
      <c r="B624" s="9" t="s">
        <v>1873</v>
      </c>
      <c r="C624" s="3" t="s">
        <v>1874</v>
      </c>
      <c r="D624" s="4" t="s">
        <v>1875</v>
      </c>
      <c r="F624" s="5">
        <f t="shared" si="63"/>
        <v>6.5</v>
      </c>
      <c r="G624" s="10">
        <v>2.6</v>
      </c>
      <c r="H624" s="7">
        <v>3.9000000000000004</v>
      </c>
      <c r="I624" s="1">
        <f t="shared" si="59"/>
        <v>0.78</v>
      </c>
      <c r="J624">
        <f t="shared" si="60"/>
        <v>1.1700000000000002</v>
      </c>
      <c r="K624">
        <f t="shared" si="61"/>
        <v>1.8199999999999998</v>
      </c>
      <c r="L624">
        <f t="shared" si="62"/>
        <v>2.73</v>
      </c>
    </row>
    <row r="625" spans="1:12" x14ac:dyDescent="0.25">
      <c r="A625" s="1" t="s">
        <v>15</v>
      </c>
      <c r="B625" s="9" t="s">
        <v>1876</v>
      </c>
      <c r="C625" s="3" t="s">
        <v>1877</v>
      </c>
      <c r="D625" s="4" t="s">
        <v>1878</v>
      </c>
      <c r="F625" s="5">
        <f t="shared" si="63"/>
        <v>6.5</v>
      </c>
      <c r="G625" s="10">
        <v>2.6</v>
      </c>
      <c r="H625" s="7">
        <v>3.9000000000000004</v>
      </c>
      <c r="I625" s="1">
        <f t="shared" si="59"/>
        <v>0.78</v>
      </c>
      <c r="J625">
        <f t="shared" si="60"/>
        <v>1.1700000000000002</v>
      </c>
      <c r="K625">
        <f t="shared" si="61"/>
        <v>1.8199999999999998</v>
      </c>
      <c r="L625">
        <f t="shared" si="62"/>
        <v>2.73</v>
      </c>
    </row>
    <row r="626" spans="1:12" x14ac:dyDescent="0.25">
      <c r="A626" s="1" t="s">
        <v>15</v>
      </c>
      <c r="B626" s="9" t="s">
        <v>1879</v>
      </c>
      <c r="C626" s="3" t="s">
        <v>1880</v>
      </c>
      <c r="D626" s="4" t="s">
        <v>1881</v>
      </c>
      <c r="F626" s="5">
        <f t="shared" si="63"/>
        <v>6.5</v>
      </c>
      <c r="G626" s="10">
        <v>2.6</v>
      </c>
      <c r="H626" s="7">
        <v>3.9000000000000004</v>
      </c>
      <c r="I626" s="1">
        <f t="shared" si="59"/>
        <v>0.78</v>
      </c>
      <c r="J626">
        <f t="shared" si="60"/>
        <v>1.1700000000000002</v>
      </c>
      <c r="K626">
        <f t="shared" si="61"/>
        <v>1.8199999999999998</v>
      </c>
      <c r="L626">
        <f t="shared" si="62"/>
        <v>2.73</v>
      </c>
    </row>
    <row r="627" spans="1:12" x14ac:dyDescent="0.25">
      <c r="A627" s="1" t="s">
        <v>15</v>
      </c>
      <c r="B627" s="9" t="s">
        <v>1882</v>
      </c>
      <c r="C627" s="3" t="s">
        <v>1883</v>
      </c>
      <c r="D627" s="4" t="s">
        <v>1884</v>
      </c>
      <c r="F627" s="5">
        <f t="shared" si="63"/>
        <v>6.5</v>
      </c>
      <c r="G627" s="10">
        <v>2.6</v>
      </c>
      <c r="H627" s="7">
        <v>3.9000000000000004</v>
      </c>
      <c r="I627" s="1">
        <f t="shared" si="59"/>
        <v>0.78</v>
      </c>
      <c r="J627">
        <f t="shared" si="60"/>
        <v>1.1700000000000002</v>
      </c>
      <c r="K627">
        <f t="shared" si="61"/>
        <v>1.8199999999999998</v>
      </c>
      <c r="L627">
        <f t="shared" si="62"/>
        <v>2.73</v>
      </c>
    </row>
    <row r="628" spans="1:12" x14ac:dyDescent="0.25">
      <c r="A628" s="1" t="s">
        <v>15</v>
      </c>
      <c r="B628" s="9" t="s">
        <v>1885</v>
      </c>
      <c r="C628" s="3" t="s">
        <v>1886</v>
      </c>
      <c r="D628" s="4" t="s">
        <v>1887</v>
      </c>
      <c r="F628" s="5">
        <f t="shared" si="63"/>
        <v>6.5</v>
      </c>
      <c r="G628" s="10">
        <v>2.6</v>
      </c>
      <c r="H628" s="7">
        <v>3.9000000000000004</v>
      </c>
      <c r="I628" s="1">
        <f t="shared" si="59"/>
        <v>0.78</v>
      </c>
      <c r="J628">
        <f t="shared" si="60"/>
        <v>1.1700000000000002</v>
      </c>
      <c r="K628">
        <f t="shared" si="61"/>
        <v>1.8199999999999998</v>
      </c>
      <c r="L628">
        <f t="shared" si="62"/>
        <v>2.73</v>
      </c>
    </row>
    <row r="629" spans="1:12" x14ac:dyDescent="0.25">
      <c r="A629" s="1" t="s">
        <v>15</v>
      </c>
      <c r="B629" s="9" t="s">
        <v>1888</v>
      </c>
      <c r="C629" s="3" t="s">
        <v>1889</v>
      </c>
      <c r="D629" s="4" t="s">
        <v>1890</v>
      </c>
      <c r="F629" s="5">
        <f t="shared" si="63"/>
        <v>9.1</v>
      </c>
      <c r="G629" s="10">
        <v>2.6</v>
      </c>
      <c r="H629" s="7">
        <v>6.5</v>
      </c>
      <c r="I629" s="1">
        <f t="shared" si="59"/>
        <v>0.78</v>
      </c>
      <c r="J629">
        <f t="shared" si="60"/>
        <v>1.95</v>
      </c>
      <c r="K629">
        <f t="shared" si="61"/>
        <v>1.8199999999999998</v>
      </c>
      <c r="L629">
        <f t="shared" si="62"/>
        <v>4.55</v>
      </c>
    </row>
    <row r="630" spans="1:12" x14ac:dyDescent="0.25">
      <c r="A630" s="1" t="s">
        <v>15</v>
      </c>
      <c r="B630" s="9" t="s">
        <v>1891</v>
      </c>
      <c r="C630" s="3" t="s">
        <v>1892</v>
      </c>
      <c r="D630" s="4" t="s">
        <v>1893</v>
      </c>
      <c r="F630" s="5">
        <f t="shared" si="63"/>
        <v>9.1</v>
      </c>
      <c r="G630" s="10">
        <v>2.6</v>
      </c>
      <c r="H630" s="7">
        <v>6.5</v>
      </c>
      <c r="I630" s="1">
        <f t="shared" si="59"/>
        <v>0.78</v>
      </c>
      <c r="J630">
        <f t="shared" si="60"/>
        <v>1.95</v>
      </c>
      <c r="K630">
        <f t="shared" si="61"/>
        <v>1.8199999999999998</v>
      </c>
      <c r="L630">
        <f t="shared" si="62"/>
        <v>4.55</v>
      </c>
    </row>
    <row r="631" spans="1:12" x14ac:dyDescent="0.25">
      <c r="A631" s="1" t="s">
        <v>15</v>
      </c>
      <c r="B631" s="9" t="s">
        <v>1894</v>
      </c>
      <c r="C631" s="3" t="s">
        <v>1895</v>
      </c>
      <c r="D631" s="4" t="s">
        <v>1896</v>
      </c>
      <c r="F631" s="5">
        <f t="shared" si="63"/>
        <v>9.1</v>
      </c>
      <c r="G631" s="10">
        <v>2.6</v>
      </c>
      <c r="H631" s="7">
        <v>6.5</v>
      </c>
      <c r="I631" s="1">
        <f t="shared" si="59"/>
        <v>0.78</v>
      </c>
      <c r="J631">
        <f t="shared" si="60"/>
        <v>1.95</v>
      </c>
      <c r="K631">
        <f t="shared" si="61"/>
        <v>1.8199999999999998</v>
      </c>
      <c r="L631">
        <f t="shared" si="62"/>
        <v>4.55</v>
      </c>
    </row>
    <row r="632" spans="1:12" x14ac:dyDescent="0.25">
      <c r="A632" s="1" t="s">
        <v>15</v>
      </c>
      <c r="B632" s="9" t="s">
        <v>1897</v>
      </c>
      <c r="C632" s="3" t="s">
        <v>1898</v>
      </c>
      <c r="D632" s="4" t="s">
        <v>1899</v>
      </c>
      <c r="F632" s="5">
        <f t="shared" si="63"/>
        <v>9.1</v>
      </c>
      <c r="G632" s="10">
        <v>2.6</v>
      </c>
      <c r="H632" s="7">
        <v>6.5</v>
      </c>
      <c r="I632" s="1">
        <f t="shared" si="59"/>
        <v>0.78</v>
      </c>
      <c r="J632">
        <f t="shared" si="60"/>
        <v>1.95</v>
      </c>
      <c r="K632">
        <f t="shared" si="61"/>
        <v>1.8199999999999998</v>
      </c>
      <c r="L632">
        <f t="shared" si="62"/>
        <v>4.55</v>
      </c>
    </row>
    <row r="633" spans="1:12" x14ac:dyDescent="0.25">
      <c r="A633" s="1" t="s">
        <v>15</v>
      </c>
      <c r="B633" s="9" t="s">
        <v>1900</v>
      </c>
      <c r="C633" s="3" t="s">
        <v>1901</v>
      </c>
      <c r="D633" s="4" t="s">
        <v>1902</v>
      </c>
      <c r="F633" s="5">
        <f t="shared" si="63"/>
        <v>9.1</v>
      </c>
      <c r="G633" s="10">
        <v>2.6</v>
      </c>
      <c r="H633" s="7">
        <v>6.5</v>
      </c>
      <c r="I633" s="1">
        <f t="shared" si="59"/>
        <v>0.78</v>
      </c>
      <c r="J633">
        <f t="shared" si="60"/>
        <v>1.95</v>
      </c>
      <c r="K633">
        <f t="shared" si="61"/>
        <v>1.8199999999999998</v>
      </c>
      <c r="L633">
        <f t="shared" si="62"/>
        <v>4.55</v>
      </c>
    </row>
    <row r="634" spans="1:12" x14ac:dyDescent="0.25">
      <c r="A634" s="1" t="s">
        <v>15</v>
      </c>
      <c r="B634" s="9" t="s">
        <v>1903</v>
      </c>
      <c r="C634" s="3" t="s">
        <v>1904</v>
      </c>
      <c r="D634" s="4" t="s">
        <v>1905</v>
      </c>
      <c r="F634" s="5">
        <f t="shared" si="63"/>
        <v>9.1</v>
      </c>
      <c r="G634" s="10">
        <v>2.6</v>
      </c>
      <c r="H634" s="7">
        <v>6.5</v>
      </c>
      <c r="I634" s="1">
        <f t="shared" si="59"/>
        <v>0.78</v>
      </c>
      <c r="J634">
        <f t="shared" si="60"/>
        <v>1.95</v>
      </c>
      <c r="K634">
        <f t="shared" si="61"/>
        <v>1.8199999999999998</v>
      </c>
      <c r="L634">
        <f t="shared" si="62"/>
        <v>4.55</v>
      </c>
    </row>
    <row r="635" spans="1:12" x14ac:dyDescent="0.25">
      <c r="A635" s="1" t="s">
        <v>15</v>
      </c>
      <c r="B635" s="9" t="s">
        <v>1906</v>
      </c>
      <c r="C635" s="3" t="s">
        <v>1907</v>
      </c>
      <c r="D635" s="4" t="s">
        <v>1908</v>
      </c>
      <c r="F635" s="5">
        <f t="shared" si="63"/>
        <v>9.1</v>
      </c>
      <c r="G635" s="10">
        <v>2.6</v>
      </c>
      <c r="H635" s="7">
        <v>6.5</v>
      </c>
      <c r="I635" s="1">
        <f t="shared" si="59"/>
        <v>0.78</v>
      </c>
      <c r="J635">
        <f t="shared" si="60"/>
        <v>1.95</v>
      </c>
      <c r="K635">
        <f t="shared" si="61"/>
        <v>1.8199999999999998</v>
      </c>
      <c r="L635">
        <f t="shared" si="62"/>
        <v>4.55</v>
      </c>
    </row>
    <row r="636" spans="1:12" x14ac:dyDescent="0.25">
      <c r="A636" s="1" t="s">
        <v>15</v>
      </c>
      <c r="B636" s="9" t="s">
        <v>1909</v>
      </c>
      <c r="C636" s="3" t="s">
        <v>1910</v>
      </c>
      <c r="D636" s="4" t="s">
        <v>1911</v>
      </c>
      <c r="F636" s="5">
        <f t="shared" si="63"/>
        <v>9.1</v>
      </c>
      <c r="G636" s="10">
        <v>2.6</v>
      </c>
      <c r="H636" s="7">
        <v>6.5</v>
      </c>
      <c r="I636" s="1">
        <f t="shared" si="59"/>
        <v>0.78</v>
      </c>
      <c r="J636">
        <f t="shared" si="60"/>
        <v>1.95</v>
      </c>
      <c r="K636">
        <f t="shared" si="61"/>
        <v>1.8199999999999998</v>
      </c>
      <c r="L636">
        <f t="shared" si="62"/>
        <v>4.55</v>
      </c>
    </row>
    <row r="637" spans="1:12" x14ac:dyDescent="0.25">
      <c r="A637" s="1" t="s">
        <v>15</v>
      </c>
      <c r="B637" s="9" t="s">
        <v>1912</v>
      </c>
      <c r="C637" s="3" t="s">
        <v>1913</v>
      </c>
      <c r="D637" s="4" t="s">
        <v>1914</v>
      </c>
      <c r="F637" s="5">
        <f t="shared" si="63"/>
        <v>9.1</v>
      </c>
      <c r="G637" s="10">
        <v>2.6</v>
      </c>
      <c r="H637" s="7">
        <v>6.5</v>
      </c>
      <c r="I637" s="1">
        <f t="shared" si="59"/>
        <v>0.78</v>
      </c>
      <c r="J637">
        <f t="shared" si="60"/>
        <v>1.95</v>
      </c>
      <c r="K637">
        <f t="shared" si="61"/>
        <v>1.8199999999999998</v>
      </c>
      <c r="L637">
        <f t="shared" si="62"/>
        <v>4.55</v>
      </c>
    </row>
    <row r="638" spans="1:12" x14ac:dyDescent="0.25">
      <c r="A638" s="1" t="s">
        <v>15</v>
      </c>
      <c r="B638" s="9" t="s">
        <v>1915</v>
      </c>
      <c r="C638" s="3" t="s">
        <v>1916</v>
      </c>
      <c r="D638" s="4" t="s">
        <v>1917</v>
      </c>
      <c r="F638" s="5">
        <f t="shared" si="63"/>
        <v>9.1</v>
      </c>
      <c r="G638" s="10">
        <v>2.6</v>
      </c>
      <c r="H638" s="7">
        <v>6.5</v>
      </c>
      <c r="I638" s="1">
        <f t="shared" si="59"/>
        <v>0.78</v>
      </c>
      <c r="J638">
        <f t="shared" si="60"/>
        <v>1.95</v>
      </c>
      <c r="K638">
        <f t="shared" si="61"/>
        <v>1.8199999999999998</v>
      </c>
      <c r="L638">
        <f t="shared" si="62"/>
        <v>4.55</v>
      </c>
    </row>
    <row r="639" spans="1:12" x14ac:dyDescent="0.25">
      <c r="A639" s="1" t="s">
        <v>15</v>
      </c>
      <c r="B639" s="9" t="s">
        <v>1918</v>
      </c>
      <c r="C639" s="3" t="s">
        <v>1919</v>
      </c>
      <c r="D639" s="4" t="s">
        <v>1920</v>
      </c>
      <c r="F639" s="5">
        <f t="shared" si="63"/>
        <v>9.1</v>
      </c>
      <c r="G639" s="10">
        <v>2.6</v>
      </c>
      <c r="H639" s="7">
        <v>6.5</v>
      </c>
      <c r="I639" s="1">
        <f t="shared" si="59"/>
        <v>0.78</v>
      </c>
      <c r="J639">
        <f t="shared" si="60"/>
        <v>1.95</v>
      </c>
      <c r="K639">
        <f t="shared" si="61"/>
        <v>1.8199999999999998</v>
      </c>
      <c r="L639">
        <f t="shared" si="62"/>
        <v>4.55</v>
      </c>
    </row>
    <row r="640" spans="1:12" x14ac:dyDescent="0.25">
      <c r="A640" s="1" t="s">
        <v>15</v>
      </c>
      <c r="B640" s="9" t="s">
        <v>1921</v>
      </c>
      <c r="C640" s="3" t="s">
        <v>1922</v>
      </c>
      <c r="D640" s="4" t="s">
        <v>1923</v>
      </c>
      <c r="F640" s="5">
        <f t="shared" si="63"/>
        <v>9.1</v>
      </c>
      <c r="G640" s="10">
        <v>2.6</v>
      </c>
      <c r="H640" s="7">
        <v>6.5</v>
      </c>
      <c r="I640" s="1">
        <f t="shared" si="59"/>
        <v>0.78</v>
      </c>
      <c r="J640">
        <f t="shared" si="60"/>
        <v>1.95</v>
      </c>
      <c r="K640">
        <f t="shared" si="61"/>
        <v>1.8199999999999998</v>
      </c>
      <c r="L640">
        <f t="shared" si="62"/>
        <v>4.55</v>
      </c>
    </row>
    <row r="641" spans="1:12" x14ac:dyDescent="0.25">
      <c r="A641" s="1" t="s">
        <v>15</v>
      </c>
      <c r="B641" s="9" t="s">
        <v>1924</v>
      </c>
      <c r="C641" s="3" t="s">
        <v>1925</v>
      </c>
      <c r="D641" s="4" t="s">
        <v>1926</v>
      </c>
      <c r="F641" s="5">
        <f t="shared" si="63"/>
        <v>9.1</v>
      </c>
      <c r="G641" s="10">
        <v>2.6</v>
      </c>
      <c r="H641" s="7">
        <v>6.5</v>
      </c>
      <c r="I641" s="1">
        <f t="shared" si="59"/>
        <v>0.78</v>
      </c>
      <c r="J641">
        <f t="shared" si="60"/>
        <v>1.95</v>
      </c>
      <c r="K641">
        <f t="shared" si="61"/>
        <v>1.8199999999999998</v>
      </c>
      <c r="L641">
        <f t="shared" si="62"/>
        <v>4.55</v>
      </c>
    </row>
    <row r="642" spans="1:12" x14ac:dyDescent="0.25">
      <c r="A642" s="1" t="s">
        <v>15</v>
      </c>
      <c r="B642" s="9" t="s">
        <v>1927</v>
      </c>
      <c r="C642" s="3" t="s">
        <v>1928</v>
      </c>
      <c r="D642" s="4" t="s">
        <v>1929</v>
      </c>
      <c r="F642" s="5">
        <f t="shared" si="63"/>
        <v>9.1</v>
      </c>
      <c r="G642" s="10">
        <v>2.6</v>
      </c>
      <c r="H642" s="7">
        <v>6.5</v>
      </c>
      <c r="I642" s="1">
        <f t="shared" si="59"/>
        <v>0.78</v>
      </c>
      <c r="J642">
        <f t="shared" si="60"/>
        <v>1.95</v>
      </c>
      <c r="K642">
        <f t="shared" si="61"/>
        <v>1.8199999999999998</v>
      </c>
      <c r="L642">
        <f t="shared" si="62"/>
        <v>4.55</v>
      </c>
    </row>
    <row r="643" spans="1:12" x14ac:dyDescent="0.25">
      <c r="A643" s="1" t="s">
        <v>15</v>
      </c>
      <c r="B643" s="9" t="s">
        <v>1930</v>
      </c>
      <c r="C643" s="3" t="s">
        <v>1931</v>
      </c>
      <c r="D643" s="4" t="s">
        <v>1932</v>
      </c>
      <c r="F643" s="5">
        <f t="shared" si="63"/>
        <v>9.1</v>
      </c>
      <c r="G643" s="10">
        <v>2.6</v>
      </c>
      <c r="H643" s="7">
        <v>6.5</v>
      </c>
      <c r="I643" s="1">
        <f t="shared" si="59"/>
        <v>0.78</v>
      </c>
      <c r="J643">
        <f t="shared" si="60"/>
        <v>1.95</v>
      </c>
      <c r="K643">
        <f t="shared" si="61"/>
        <v>1.8199999999999998</v>
      </c>
      <c r="L643">
        <f t="shared" si="62"/>
        <v>4.55</v>
      </c>
    </row>
    <row r="644" spans="1:12" x14ac:dyDescent="0.25">
      <c r="A644" s="1" t="s">
        <v>15</v>
      </c>
      <c r="B644" s="9" t="s">
        <v>1933</v>
      </c>
      <c r="C644" s="3" t="s">
        <v>1934</v>
      </c>
      <c r="D644" s="4" t="s">
        <v>1935</v>
      </c>
      <c r="F644" s="5">
        <f t="shared" si="63"/>
        <v>9.1</v>
      </c>
      <c r="G644" s="10">
        <v>2.6</v>
      </c>
      <c r="H644" s="7">
        <v>6.5</v>
      </c>
      <c r="I644" s="1">
        <f t="shared" ref="I644:I686" si="64">G644*0.3</f>
        <v>0.78</v>
      </c>
      <c r="J644">
        <f t="shared" ref="J644:J686" si="65">H644*0.3</f>
        <v>1.95</v>
      </c>
      <c r="K644">
        <f t="shared" ref="K644:L686" si="66">G644*0.7</f>
        <v>1.8199999999999998</v>
      </c>
      <c r="L644">
        <f t="shared" si="66"/>
        <v>4.55</v>
      </c>
    </row>
    <row r="645" spans="1:12" x14ac:dyDescent="0.25">
      <c r="A645" s="1" t="s">
        <v>15</v>
      </c>
      <c r="B645" s="9" t="s">
        <v>1936</v>
      </c>
      <c r="C645" s="3" t="s">
        <v>1937</v>
      </c>
      <c r="D645" s="4" t="s">
        <v>1938</v>
      </c>
      <c r="F645" s="5">
        <f t="shared" si="63"/>
        <v>9.1</v>
      </c>
      <c r="G645" s="10">
        <v>2.6</v>
      </c>
      <c r="H645" s="7">
        <v>6.5</v>
      </c>
      <c r="I645" s="1">
        <f t="shared" si="64"/>
        <v>0.78</v>
      </c>
      <c r="J645">
        <f t="shared" si="65"/>
        <v>1.95</v>
      </c>
      <c r="K645">
        <f t="shared" si="66"/>
        <v>1.8199999999999998</v>
      </c>
      <c r="L645">
        <f t="shared" si="66"/>
        <v>4.55</v>
      </c>
    </row>
    <row r="646" spans="1:12" x14ac:dyDescent="0.25">
      <c r="A646" s="1" t="s">
        <v>15</v>
      </c>
      <c r="B646" s="9" t="s">
        <v>1939</v>
      </c>
      <c r="C646" s="3" t="s">
        <v>1940</v>
      </c>
      <c r="D646" s="4" t="s">
        <v>1941</v>
      </c>
      <c r="F646" s="5">
        <f t="shared" si="63"/>
        <v>9.1</v>
      </c>
      <c r="G646" s="10">
        <v>2.6</v>
      </c>
      <c r="H646" s="7">
        <v>6.5</v>
      </c>
      <c r="I646" s="1">
        <f t="shared" si="64"/>
        <v>0.78</v>
      </c>
      <c r="J646">
        <f t="shared" si="65"/>
        <v>1.95</v>
      </c>
      <c r="K646">
        <f t="shared" si="66"/>
        <v>1.8199999999999998</v>
      </c>
      <c r="L646">
        <f t="shared" si="66"/>
        <v>4.55</v>
      </c>
    </row>
    <row r="647" spans="1:12" x14ac:dyDescent="0.25">
      <c r="A647" s="1" t="s">
        <v>15</v>
      </c>
      <c r="B647" s="9" t="s">
        <v>1942</v>
      </c>
      <c r="C647" s="3" t="s">
        <v>1943</v>
      </c>
      <c r="D647" s="4" t="s">
        <v>1944</v>
      </c>
      <c r="F647" s="5">
        <f t="shared" si="63"/>
        <v>9.1</v>
      </c>
      <c r="G647" s="10">
        <v>2.6</v>
      </c>
      <c r="H647" s="7">
        <v>6.5</v>
      </c>
      <c r="I647" s="1">
        <f t="shared" si="64"/>
        <v>0.78</v>
      </c>
      <c r="J647">
        <f t="shared" si="65"/>
        <v>1.95</v>
      </c>
      <c r="K647">
        <f t="shared" si="66"/>
        <v>1.8199999999999998</v>
      </c>
      <c r="L647">
        <f t="shared" si="66"/>
        <v>4.55</v>
      </c>
    </row>
    <row r="648" spans="1:12" x14ac:dyDescent="0.25">
      <c r="A648" s="1" t="s">
        <v>15</v>
      </c>
      <c r="B648" s="9" t="s">
        <v>1945</v>
      </c>
      <c r="C648" s="3" t="s">
        <v>1946</v>
      </c>
      <c r="D648" s="4" t="s">
        <v>1947</v>
      </c>
      <c r="F648" s="5">
        <f t="shared" si="63"/>
        <v>9.1</v>
      </c>
      <c r="G648" s="10">
        <v>2.6</v>
      </c>
      <c r="H648" s="7">
        <v>6.5</v>
      </c>
      <c r="I648" s="1">
        <f t="shared" si="64"/>
        <v>0.78</v>
      </c>
      <c r="J648">
        <f t="shared" si="65"/>
        <v>1.95</v>
      </c>
      <c r="K648">
        <f t="shared" si="66"/>
        <v>1.8199999999999998</v>
      </c>
      <c r="L648">
        <f t="shared" si="66"/>
        <v>4.55</v>
      </c>
    </row>
    <row r="649" spans="1:12" x14ac:dyDescent="0.25">
      <c r="A649" s="1" t="s">
        <v>15</v>
      </c>
      <c r="B649" s="9" t="s">
        <v>1948</v>
      </c>
      <c r="C649" s="3" t="s">
        <v>1949</v>
      </c>
      <c r="D649" s="4" t="s">
        <v>1950</v>
      </c>
      <c r="F649" s="5">
        <f t="shared" si="63"/>
        <v>9.1</v>
      </c>
      <c r="G649" s="10">
        <v>2.6</v>
      </c>
      <c r="H649" s="7">
        <v>6.5</v>
      </c>
      <c r="I649" s="1">
        <f t="shared" si="64"/>
        <v>0.78</v>
      </c>
      <c r="J649">
        <f t="shared" si="65"/>
        <v>1.95</v>
      </c>
      <c r="K649">
        <f t="shared" si="66"/>
        <v>1.8199999999999998</v>
      </c>
      <c r="L649">
        <f t="shared" si="66"/>
        <v>4.55</v>
      </c>
    </row>
    <row r="650" spans="1:12" x14ac:dyDescent="0.25">
      <c r="A650" s="1" t="s">
        <v>15</v>
      </c>
      <c r="B650" s="9" t="s">
        <v>1951</v>
      </c>
      <c r="C650" s="3" t="s">
        <v>1952</v>
      </c>
      <c r="D650" s="4" t="s">
        <v>1953</v>
      </c>
      <c r="F650" s="5">
        <f t="shared" si="63"/>
        <v>9.1</v>
      </c>
      <c r="G650" s="10">
        <v>2.6</v>
      </c>
      <c r="H650" s="7">
        <v>6.5</v>
      </c>
      <c r="I650" s="1">
        <f t="shared" si="64"/>
        <v>0.78</v>
      </c>
      <c r="J650">
        <f t="shared" si="65"/>
        <v>1.95</v>
      </c>
      <c r="K650">
        <f t="shared" si="66"/>
        <v>1.8199999999999998</v>
      </c>
      <c r="L650">
        <f t="shared" si="66"/>
        <v>4.55</v>
      </c>
    </row>
    <row r="651" spans="1:12" x14ac:dyDescent="0.25">
      <c r="A651" s="1" t="s">
        <v>15</v>
      </c>
      <c r="B651" s="9" t="s">
        <v>1954</v>
      </c>
      <c r="C651" s="3" t="s">
        <v>1955</v>
      </c>
      <c r="D651" s="4" t="s">
        <v>1956</v>
      </c>
      <c r="F651" s="5">
        <f t="shared" si="63"/>
        <v>9.1</v>
      </c>
      <c r="G651" s="10">
        <v>2.6</v>
      </c>
      <c r="H651" s="7">
        <v>6.5</v>
      </c>
      <c r="I651" s="1">
        <f t="shared" si="64"/>
        <v>0.78</v>
      </c>
      <c r="J651">
        <f t="shared" si="65"/>
        <v>1.95</v>
      </c>
      <c r="K651">
        <f t="shared" si="66"/>
        <v>1.8199999999999998</v>
      </c>
      <c r="L651">
        <f t="shared" si="66"/>
        <v>4.55</v>
      </c>
    </row>
    <row r="652" spans="1:12" x14ac:dyDescent="0.25">
      <c r="A652" s="1" t="s">
        <v>15</v>
      </c>
      <c r="B652" s="9" t="s">
        <v>1957</v>
      </c>
      <c r="C652" s="3" t="s">
        <v>1958</v>
      </c>
      <c r="D652" s="4" t="s">
        <v>1959</v>
      </c>
      <c r="F652" s="5">
        <f t="shared" si="63"/>
        <v>9.1</v>
      </c>
      <c r="G652" s="10">
        <v>2.6</v>
      </c>
      <c r="H652" s="7">
        <v>6.5</v>
      </c>
      <c r="I652" s="1">
        <f t="shared" si="64"/>
        <v>0.78</v>
      </c>
      <c r="J652">
        <f t="shared" si="65"/>
        <v>1.95</v>
      </c>
      <c r="K652">
        <f t="shared" si="66"/>
        <v>1.8199999999999998</v>
      </c>
      <c r="L652">
        <f t="shared" si="66"/>
        <v>4.55</v>
      </c>
    </row>
    <row r="653" spans="1:12" x14ac:dyDescent="0.25">
      <c r="A653" s="1" t="s">
        <v>15</v>
      </c>
      <c r="B653" s="9" t="s">
        <v>1960</v>
      </c>
      <c r="C653" s="3" t="s">
        <v>1961</v>
      </c>
      <c r="D653" s="4" t="s">
        <v>1962</v>
      </c>
      <c r="F653" s="5">
        <f t="shared" si="63"/>
        <v>9.1</v>
      </c>
      <c r="G653" s="10">
        <v>2.6</v>
      </c>
      <c r="H653" s="7">
        <v>6.5</v>
      </c>
      <c r="I653" s="1">
        <f t="shared" si="64"/>
        <v>0.78</v>
      </c>
      <c r="J653">
        <f t="shared" si="65"/>
        <v>1.95</v>
      </c>
      <c r="K653">
        <f t="shared" si="66"/>
        <v>1.8199999999999998</v>
      </c>
      <c r="L653">
        <f t="shared" si="66"/>
        <v>4.55</v>
      </c>
    </row>
    <row r="654" spans="1:12" x14ac:dyDescent="0.25">
      <c r="A654" s="1" t="s">
        <v>15</v>
      </c>
      <c r="B654" s="9" t="s">
        <v>1963</v>
      </c>
      <c r="C654" s="3" t="s">
        <v>1964</v>
      </c>
      <c r="D654" s="4" t="s">
        <v>1965</v>
      </c>
      <c r="F654" s="5">
        <f t="shared" si="63"/>
        <v>9.1</v>
      </c>
      <c r="G654" s="10">
        <v>2.6</v>
      </c>
      <c r="H654" s="7">
        <v>6.5</v>
      </c>
      <c r="I654" s="1">
        <f t="shared" si="64"/>
        <v>0.78</v>
      </c>
      <c r="J654">
        <f t="shared" si="65"/>
        <v>1.95</v>
      </c>
      <c r="K654">
        <f t="shared" si="66"/>
        <v>1.8199999999999998</v>
      </c>
      <c r="L654">
        <f t="shared" si="66"/>
        <v>4.55</v>
      </c>
    </row>
    <row r="655" spans="1:12" x14ac:dyDescent="0.25">
      <c r="A655" s="1" t="s">
        <v>15</v>
      </c>
      <c r="B655" s="9" t="s">
        <v>1966</v>
      </c>
      <c r="C655" s="3" t="s">
        <v>1967</v>
      </c>
      <c r="D655" s="4" t="s">
        <v>1968</v>
      </c>
      <c r="F655" s="5">
        <f t="shared" si="63"/>
        <v>9.1</v>
      </c>
      <c r="G655" s="10">
        <v>2.6</v>
      </c>
      <c r="H655" s="7">
        <v>6.5</v>
      </c>
      <c r="I655" s="1">
        <f t="shared" si="64"/>
        <v>0.78</v>
      </c>
      <c r="J655">
        <f t="shared" si="65"/>
        <v>1.95</v>
      </c>
      <c r="K655">
        <f t="shared" si="66"/>
        <v>1.8199999999999998</v>
      </c>
      <c r="L655">
        <f t="shared" si="66"/>
        <v>4.55</v>
      </c>
    </row>
    <row r="656" spans="1:12" x14ac:dyDescent="0.25">
      <c r="A656" s="1" t="s">
        <v>15</v>
      </c>
      <c r="B656" s="9" t="s">
        <v>1969</v>
      </c>
      <c r="C656" s="3" t="s">
        <v>1970</v>
      </c>
      <c r="D656" s="4" t="s">
        <v>1971</v>
      </c>
      <c r="F656" s="5">
        <f t="shared" si="63"/>
        <v>9.1</v>
      </c>
      <c r="G656" s="10">
        <v>2.6</v>
      </c>
      <c r="H656" s="7">
        <v>6.5</v>
      </c>
      <c r="I656" s="1">
        <f t="shared" si="64"/>
        <v>0.78</v>
      </c>
      <c r="J656">
        <f t="shared" si="65"/>
        <v>1.95</v>
      </c>
      <c r="K656">
        <f t="shared" si="66"/>
        <v>1.8199999999999998</v>
      </c>
      <c r="L656">
        <f t="shared" si="66"/>
        <v>4.55</v>
      </c>
    </row>
    <row r="657" spans="1:12" x14ac:dyDescent="0.25">
      <c r="A657" s="1" t="s">
        <v>15</v>
      </c>
      <c r="B657" s="9" t="s">
        <v>1972</v>
      </c>
      <c r="C657" s="3" t="s">
        <v>1973</v>
      </c>
      <c r="D657" s="4" t="s">
        <v>1974</v>
      </c>
      <c r="F657" s="5">
        <f t="shared" si="63"/>
        <v>9.1</v>
      </c>
      <c r="G657" s="10">
        <v>2.6</v>
      </c>
      <c r="H657" s="7">
        <v>6.5</v>
      </c>
      <c r="I657" s="1">
        <f t="shared" si="64"/>
        <v>0.78</v>
      </c>
      <c r="J657">
        <f t="shared" si="65"/>
        <v>1.95</v>
      </c>
      <c r="K657">
        <f t="shared" si="66"/>
        <v>1.8199999999999998</v>
      </c>
      <c r="L657">
        <f t="shared" si="66"/>
        <v>4.55</v>
      </c>
    </row>
    <row r="658" spans="1:12" x14ac:dyDescent="0.25">
      <c r="A658" s="1" t="s">
        <v>15</v>
      </c>
      <c r="B658" s="9" t="s">
        <v>1975</v>
      </c>
      <c r="C658" s="3" t="s">
        <v>1976</v>
      </c>
      <c r="D658" s="4" t="s">
        <v>1977</v>
      </c>
      <c r="F658" s="5">
        <f t="shared" si="63"/>
        <v>9.1</v>
      </c>
      <c r="G658" s="10">
        <v>2.6</v>
      </c>
      <c r="H658" s="7">
        <v>6.5</v>
      </c>
      <c r="I658" s="1">
        <f t="shared" si="64"/>
        <v>0.78</v>
      </c>
      <c r="J658">
        <f t="shared" si="65"/>
        <v>1.95</v>
      </c>
      <c r="K658">
        <f t="shared" si="66"/>
        <v>1.8199999999999998</v>
      </c>
      <c r="L658">
        <f t="shared" si="66"/>
        <v>4.55</v>
      </c>
    </row>
    <row r="659" spans="1:12" x14ac:dyDescent="0.25">
      <c r="A659" s="1" t="s">
        <v>15</v>
      </c>
      <c r="B659" s="9" t="s">
        <v>1978</v>
      </c>
      <c r="C659" s="3" t="s">
        <v>1979</v>
      </c>
      <c r="D659" s="4" t="s">
        <v>1980</v>
      </c>
      <c r="F659" s="5">
        <f t="shared" si="63"/>
        <v>10.4</v>
      </c>
      <c r="G659" s="10">
        <v>7.8000000000000007</v>
      </c>
      <c r="H659" s="7">
        <v>2.6</v>
      </c>
      <c r="I659" s="1">
        <f t="shared" si="64"/>
        <v>2.3400000000000003</v>
      </c>
      <c r="J659">
        <f t="shared" si="65"/>
        <v>0.78</v>
      </c>
      <c r="K659">
        <f t="shared" si="66"/>
        <v>5.46</v>
      </c>
      <c r="L659">
        <f t="shared" si="66"/>
        <v>1.8199999999999998</v>
      </c>
    </row>
    <row r="660" spans="1:12" x14ac:dyDescent="0.25">
      <c r="A660" s="1" t="s">
        <v>15</v>
      </c>
      <c r="B660" s="9" t="s">
        <v>1981</v>
      </c>
      <c r="C660" s="3" t="s">
        <v>1982</v>
      </c>
      <c r="D660" s="4" t="s">
        <v>1983</v>
      </c>
      <c r="F660" s="5">
        <f t="shared" si="63"/>
        <v>39</v>
      </c>
      <c r="G660" s="10">
        <v>13</v>
      </c>
      <c r="H660" s="7">
        <v>26</v>
      </c>
      <c r="I660" s="1">
        <f t="shared" si="64"/>
        <v>3.9</v>
      </c>
      <c r="J660">
        <f t="shared" si="65"/>
        <v>7.8</v>
      </c>
      <c r="K660">
        <f t="shared" si="66"/>
        <v>9.1</v>
      </c>
      <c r="L660">
        <f t="shared" si="66"/>
        <v>18.2</v>
      </c>
    </row>
    <row r="661" spans="1:12" x14ac:dyDescent="0.25">
      <c r="A661" s="1" t="s">
        <v>15</v>
      </c>
      <c r="B661" s="9" t="s">
        <v>1984</v>
      </c>
      <c r="C661" s="3" t="s">
        <v>1985</v>
      </c>
      <c r="D661" s="4" t="s">
        <v>1986</v>
      </c>
      <c r="F661" s="5">
        <f>G661+H661</f>
        <v>39</v>
      </c>
      <c r="G661" s="10">
        <v>13</v>
      </c>
      <c r="H661" s="7">
        <v>26</v>
      </c>
      <c r="I661" s="1">
        <f t="shared" si="64"/>
        <v>3.9</v>
      </c>
      <c r="J661">
        <f t="shared" si="65"/>
        <v>7.8</v>
      </c>
      <c r="K661">
        <f t="shared" si="66"/>
        <v>9.1</v>
      </c>
      <c r="L661">
        <f t="shared" si="66"/>
        <v>18.2</v>
      </c>
    </row>
    <row r="662" spans="1:12" x14ac:dyDescent="0.25">
      <c r="A662" s="1" t="s">
        <v>15</v>
      </c>
      <c r="B662" s="9" t="s">
        <v>1987</v>
      </c>
      <c r="C662" s="3" t="s">
        <v>1988</v>
      </c>
      <c r="D662" s="4" t="s">
        <v>1989</v>
      </c>
      <c r="F662" s="5">
        <f>G662+H662</f>
        <v>39</v>
      </c>
      <c r="G662" s="10">
        <v>13</v>
      </c>
      <c r="H662" s="7">
        <v>26</v>
      </c>
      <c r="I662" s="1">
        <f t="shared" si="64"/>
        <v>3.9</v>
      </c>
      <c r="J662">
        <f t="shared" si="65"/>
        <v>7.8</v>
      </c>
      <c r="K662">
        <f t="shared" si="66"/>
        <v>9.1</v>
      </c>
      <c r="L662">
        <f t="shared" si="66"/>
        <v>18.2</v>
      </c>
    </row>
    <row r="663" spans="1:12" x14ac:dyDescent="0.25">
      <c r="A663" s="1" t="s">
        <v>15</v>
      </c>
      <c r="B663" s="9" t="s">
        <v>1990</v>
      </c>
      <c r="C663" s="3" t="s">
        <v>1991</v>
      </c>
      <c r="D663" s="4" t="s">
        <v>1992</v>
      </c>
      <c r="F663" s="5">
        <f>G663+H663</f>
        <v>39</v>
      </c>
      <c r="G663" s="10">
        <v>13</v>
      </c>
      <c r="H663" s="7">
        <v>26</v>
      </c>
      <c r="I663" s="1">
        <f t="shared" si="64"/>
        <v>3.9</v>
      </c>
      <c r="J663">
        <f t="shared" si="65"/>
        <v>7.8</v>
      </c>
      <c r="K663">
        <f t="shared" si="66"/>
        <v>9.1</v>
      </c>
      <c r="L663">
        <f t="shared" si="66"/>
        <v>18.2</v>
      </c>
    </row>
    <row r="664" spans="1:12" x14ac:dyDescent="0.25">
      <c r="A664" s="1" t="s">
        <v>15</v>
      </c>
      <c r="B664" s="9" t="s">
        <v>1993</v>
      </c>
      <c r="C664" s="3" t="s">
        <v>1994</v>
      </c>
      <c r="D664" s="4" t="s">
        <v>1995</v>
      </c>
      <c r="F664" s="5">
        <f t="shared" si="63"/>
        <v>39</v>
      </c>
      <c r="G664" s="10">
        <v>13</v>
      </c>
      <c r="H664" s="7">
        <v>26</v>
      </c>
      <c r="I664" s="1">
        <f t="shared" si="64"/>
        <v>3.9</v>
      </c>
      <c r="J664">
        <f t="shared" si="65"/>
        <v>7.8</v>
      </c>
      <c r="K664">
        <f t="shared" si="66"/>
        <v>9.1</v>
      </c>
      <c r="L664">
        <f t="shared" si="66"/>
        <v>18.2</v>
      </c>
    </row>
    <row r="665" spans="1:12" x14ac:dyDescent="0.25">
      <c r="A665" s="1" t="s">
        <v>15</v>
      </c>
      <c r="B665" s="9" t="s">
        <v>1996</v>
      </c>
      <c r="C665" s="3" t="s">
        <v>1997</v>
      </c>
      <c r="D665" s="4" t="s">
        <v>1998</v>
      </c>
      <c r="F665" s="5">
        <f t="shared" si="63"/>
        <v>39</v>
      </c>
      <c r="G665" s="10">
        <v>13</v>
      </c>
      <c r="H665" s="7">
        <v>26</v>
      </c>
      <c r="I665" s="1">
        <f t="shared" si="64"/>
        <v>3.9</v>
      </c>
      <c r="J665">
        <f t="shared" si="65"/>
        <v>7.8</v>
      </c>
      <c r="K665">
        <f t="shared" si="66"/>
        <v>9.1</v>
      </c>
      <c r="L665">
        <f t="shared" si="66"/>
        <v>18.2</v>
      </c>
    </row>
    <row r="666" spans="1:12" x14ac:dyDescent="0.25">
      <c r="A666" s="1" t="s">
        <v>15</v>
      </c>
      <c r="B666" s="9" t="s">
        <v>1999</v>
      </c>
      <c r="C666" s="3" t="s">
        <v>2000</v>
      </c>
      <c r="D666" s="4" t="s">
        <v>2001</v>
      </c>
      <c r="F666" s="5">
        <f t="shared" si="63"/>
        <v>39</v>
      </c>
      <c r="G666" s="10">
        <v>13</v>
      </c>
      <c r="H666" s="7">
        <v>26</v>
      </c>
      <c r="I666" s="1">
        <f t="shared" si="64"/>
        <v>3.9</v>
      </c>
      <c r="J666">
        <f t="shared" si="65"/>
        <v>7.8</v>
      </c>
      <c r="K666">
        <f t="shared" si="66"/>
        <v>9.1</v>
      </c>
      <c r="L666">
        <f t="shared" si="66"/>
        <v>18.2</v>
      </c>
    </row>
    <row r="667" spans="1:12" x14ac:dyDescent="0.25">
      <c r="A667" s="1" t="s">
        <v>15</v>
      </c>
      <c r="B667" s="9" t="s">
        <v>2002</v>
      </c>
      <c r="C667" s="3" t="s">
        <v>2003</v>
      </c>
      <c r="D667" s="4" t="s">
        <v>2004</v>
      </c>
      <c r="F667" s="5">
        <f t="shared" si="63"/>
        <v>39</v>
      </c>
      <c r="G667" s="10">
        <v>13</v>
      </c>
      <c r="H667" s="7">
        <v>26</v>
      </c>
      <c r="I667" s="1">
        <f t="shared" si="64"/>
        <v>3.9</v>
      </c>
      <c r="J667">
        <f t="shared" si="65"/>
        <v>7.8</v>
      </c>
      <c r="K667">
        <f t="shared" si="66"/>
        <v>9.1</v>
      </c>
      <c r="L667">
        <f t="shared" si="66"/>
        <v>18.2</v>
      </c>
    </row>
    <row r="668" spans="1:12" x14ac:dyDescent="0.25">
      <c r="A668" s="1" t="s">
        <v>15</v>
      </c>
      <c r="B668" s="9" t="s">
        <v>2005</v>
      </c>
      <c r="C668" s="3" t="s">
        <v>2006</v>
      </c>
      <c r="D668" s="4" t="s">
        <v>2007</v>
      </c>
      <c r="F668" s="5">
        <f t="shared" si="63"/>
        <v>13</v>
      </c>
      <c r="G668" s="10">
        <v>2.6</v>
      </c>
      <c r="H668" s="7">
        <v>10.4</v>
      </c>
      <c r="I668" s="1">
        <f t="shared" si="64"/>
        <v>0.78</v>
      </c>
      <c r="J668">
        <f t="shared" si="65"/>
        <v>3.12</v>
      </c>
      <c r="K668">
        <f t="shared" si="66"/>
        <v>1.8199999999999998</v>
      </c>
      <c r="L668">
        <f t="shared" si="66"/>
        <v>7.2799999999999994</v>
      </c>
    </row>
    <row r="669" spans="1:12" x14ac:dyDescent="0.25">
      <c r="A669" s="1" t="s">
        <v>15</v>
      </c>
      <c r="B669" s="9" t="s">
        <v>2008</v>
      </c>
      <c r="C669" s="3" t="s">
        <v>2009</v>
      </c>
      <c r="D669" s="4" t="s">
        <v>2010</v>
      </c>
      <c r="F669" s="5">
        <f t="shared" si="63"/>
        <v>13</v>
      </c>
      <c r="G669" s="10">
        <v>2.6</v>
      </c>
      <c r="H669" s="7">
        <v>10.4</v>
      </c>
      <c r="I669" s="1">
        <f t="shared" si="64"/>
        <v>0.78</v>
      </c>
      <c r="J669">
        <f t="shared" si="65"/>
        <v>3.12</v>
      </c>
      <c r="K669">
        <f t="shared" si="66"/>
        <v>1.8199999999999998</v>
      </c>
      <c r="L669">
        <f t="shared" si="66"/>
        <v>7.2799999999999994</v>
      </c>
    </row>
    <row r="670" spans="1:12" x14ac:dyDescent="0.25">
      <c r="A670" s="1" t="s">
        <v>15</v>
      </c>
      <c r="B670" s="9" t="s">
        <v>2011</v>
      </c>
      <c r="C670" s="3" t="s">
        <v>2012</v>
      </c>
      <c r="D670" s="4" t="s">
        <v>2013</v>
      </c>
      <c r="F670" s="5">
        <f t="shared" si="63"/>
        <v>13</v>
      </c>
      <c r="G670" s="10">
        <v>2.6</v>
      </c>
      <c r="H670" s="7">
        <v>10.4</v>
      </c>
      <c r="I670" s="1">
        <f t="shared" si="64"/>
        <v>0.78</v>
      </c>
      <c r="J670">
        <f t="shared" si="65"/>
        <v>3.12</v>
      </c>
      <c r="K670">
        <f t="shared" si="66"/>
        <v>1.8199999999999998</v>
      </c>
      <c r="L670">
        <f t="shared" si="66"/>
        <v>7.2799999999999994</v>
      </c>
    </row>
    <row r="671" spans="1:12" x14ac:dyDescent="0.25">
      <c r="A671" s="1" t="s">
        <v>15</v>
      </c>
      <c r="B671" s="9" t="s">
        <v>2014</v>
      </c>
      <c r="C671" s="3" t="s">
        <v>2015</v>
      </c>
      <c r="D671" s="4" t="s">
        <v>2016</v>
      </c>
      <c r="F671" s="5">
        <f t="shared" si="63"/>
        <v>13</v>
      </c>
      <c r="G671" s="10">
        <v>2.6</v>
      </c>
      <c r="H671" s="7">
        <v>10.4</v>
      </c>
      <c r="I671" s="1">
        <f t="shared" si="64"/>
        <v>0.78</v>
      </c>
      <c r="J671">
        <f t="shared" si="65"/>
        <v>3.12</v>
      </c>
      <c r="K671">
        <f t="shared" si="66"/>
        <v>1.8199999999999998</v>
      </c>
      <c r="L671">
        <f t="shared" si="66"/>
        <v>7.2799999999999994</v>
      </c>
    </row>
    <row r="672" spans="1:12" x14ac:dyDescent="0.25">
      <c r="A672" s="1" t="s">
        <v>15</v>
      </c>
      <c r="B672" s="9" t="s">
        <v>2017</v>
      </c>
      <c r="C672" s="3" t="s">
        <v>2018</v>
      </c>
      <c r="D672" s="4" t="s">
        <v>2019</v>
      </c>
      <c r="F672" s="5">
        <f t="shared" si="63"/>
        <v>13</v>
      </c>
      <c r="G672" s="10">
        <v>2.6</v>
      </c>
      <c r="H672" s="7">
        <v>10.4</v>
      </c>
      <c r="I672" s="1">
        <f t="shared" si="64"/>
        <v>0.78</v>
      </c>
      <c r="J672">
        <f t="shared" si="65"/>
        <v>3.12</v>
      </c>
      <c r="K672">
        <f t="shared" si="66"/>
        <v>1.8199999999999998</v>
      </c>
      <c r="L672">
        <f t="shared" si="66"/>
        <v>7.2799999999999994</v>
      </c>
    </row>
    <row r="673" spans="1:12" x14ac:dyDescent="0.25">
      <c r="A673" s="1" t="s">
        <v>15</v>
      </c>
      <c r="B673" s="9" t="s">
        <v>2020</v>
      </c>
      <c r="C673" s="3" t="s">
        <v>2021</v>
      </c>
      <c r="D673" s="4" t="s">
        <v>2022</v>
      </c>
      <c r="F673" s="5">
        <f t="shared" si="63"/>
        <v>13</v>
      </c>
      <c r="G673" s="10">
        <v>2.6</v>
      </c>
      <c r="H673" s="7">
        <v>10.4</v>
      </c>
      <c r="I673" s="1">
        <f t="shared" si="64"/>
        <v>0.78</v>
      </c>
      <c r="J673">
        <f t="shared" si="65"/>
        <v>3.12</v>
      </c>
      <c r="K673">
        <f t="shared" si="66"/>
        <v>1.8199999999999998</v>
      </c>
      <c r="L673">
        <f t="shared" si="66"/>
        <v>7.2799999999999994</v>
      </c>
    </row>
    <row r="674" spans="1:12" x14ac:dyDescent="0.25">
      <c r="A674" s="1" t="s">
        <v>15</v>
      </c>
      <c r="B674" s="9" t="s">
        <v>2023</v>
      </c>
      <c r="C674" s="3" t="s">
        <v>2024</v>
      </c>
      <c r="D674" s="4" t="s">
        <v>2025</v>
      </c>
      <c r="F674" s="5">
        <f t="shared" si="63"/>
        <v>13</v>
      </c>
      <c r="G674" s="10">
        <v>2.6</v>
      </c>
      <c r="H674" s="7">
        <v>10.4</v>
      </c>
      <c r="I674" s="1">
        <f t="shared" si="64"/>
        <v>0.78</v>
      </c>
      <c r="J674">
        <f t="shared" si="65"/>
        <v>3.12</v>
      </c>
      <c r="K674">
        <f t="shared" si="66"/>
        <v>1.8199999999999998</v>
      </c>
      <c r="L674">
        <f t="shared" si="66"/>
        <v>7.2799999999999994</v>
      </c>
    </row>
    <row r="675" spans="1:12" x14ac:dyDescent="0.25">
      <c r="A675" s="1" t="s">
        <v>15</v>
      </c>
      <c r="B675" s="9" t="s">
        <v>2026</v>
      </c>
      <c r="C675" s="3" t="s">
        <v>2027</v>
      </c>
      <c r="D675" s="4" t="s">
        <v>2028</v>
      </c>
      <c r="F675" s="5">
        <f t="shared" si="63"/>
        <v>13</v>
      </c>
      <c r="G675" s="10">
        <v>2.6</v>
      </c>
      <c r="H675" s="7">
        <v>10.4</v>
      </c>
      <c r="I675" s="1">
        <f t="shared" si="64"/>
        <v>0.78</v>
      </c>
      <c r="J675">
        <f t="shared" si="65"/>
        <v>3.12</v>
      </c>
      <c r="K675">
        <f t="shared" si="66"/>
        <v>1.8199999999999998</v>
      </c>
      <c r="L675">
        <f t="shared" si="66"/>
        <v>7.2799999999999994</v>
      </c>
    </row>
    <row r="676" spans="1:12" x14ac:dyDescent="0.25">
      <c r="A676" s="1" t="s">
        <v>15</v>
      </c>
      <c r="B676" s="9" t="s">
        <v>2029</v>
      </c>
      <c r="C676" s="3" t="s">
        <v>2030</v>
      </c>
      <c r="D676" s="4" t="s">
        <v>2031</v>
      </c>
      <c r="F676" s="5">
        <f t="shared" si="63"/>
        <v>13</v>
      </c>
      <c r="G676" s="10">
        <v>2.6</v>
      </c>
      <c r="H676" s="7">
        <v>10.4</v>
      </c>
      <c r="I676" s="1">
        <f t="shared" si="64"/>
        <v>0.78</v>
      </c>
      <c r="J676">
        <f t="shared" si="65"/>
        <v>3.12</v>
      </c>
      <c r="K676">
        <f t="shared" si="66"/>
        <v>1.8199999999999998</v>
      </c>
      <c r="L676">
        <f t="shared" si="66"/>
        <v>7.2799999999999994</v>
      </c>
    </row>
    <row r="677" spans="1:12" x14ac:dyDescent="0.25">
      <c r="A677" s="1" t="s">
        <v>15</v>
      </c>
      <c r="B677" s="9" t="s">
        <v>2032</v>
      </c>
      <c r="C677" s="3" t="s">
        <v>2033</v>
      </c>
      <c r="D677" s="4" t="s">
        <v>2034</v>
      </c>
      <c r="F677" s="5">
        <f t="shared" si="63"/>
        <v>13</v>
      </c>
      <c r="G677" s="10">
        <v>2.6</v>
      </c>
      <c r="H677" s="7">
        <v>10.4</v>
      </c>
      <c r="I677" s="1">
        <f t="shared" si="64"/>
        <v>0.78</v>
      </c>
      <c r="J677">
        <f t="shared" si="65"/>
        <v>3.12</v>
      </c>
      <c r="K677">
        <f t="shared" si="66"/>
        <v>1.8199999999999998</v>
      </c>
      <c r="L677">
        <f t="shared" si="66"/>
        <v>7.2799999999999994</v>
      </c>
    </row>
    <row r="678" spans="1:12" x14ac:dyDescent="0.25">
      <c r="A678" s="1" t="s">
        <v>15</v>
      </c>
      <c r="B678" s="9" t="s">
        <v>2035</v>
      </c>
      <c r="C678" s="3" t="s">
        <v>2036</v>
      </c>
      <c r="D678" s="4" t="s">
        <v>2037</v>
      </c>
      <c r="F678" s="5">
        <f t="shared" si="63"/>
        <v>13</v>
      </c>
      <c r="G678" s="10">
        <v>2.6</v>
      </c>
      <c r="H678" s="7">
        <v>10.4</v>
      </c>
      <c r="I678" s="1">
        <f t="shared" si="64"/>
        <v>0.78</v>
      </c>
      <c r="J678">
        <f t="shared" si="65"/>
        <v>3.12</v>
      </c>
      <c r="K678">
        <f t="shared" si="66"/>
        <v>1.8199999999999998</v>
      </c>
      <c r="L678">
        <f t="shared" si="66"/>
        <v>7.2799999999999994</v>
      </c>
    </row>
    <row r="679" spans="1:12" x14ac:dyDescent="0.25">
      <c r="A679" s="1" t="s">
        <v>15</v>
      </c>
      <c r="B679" s="9" t="s">
        <v>2038</v>
      </c>
      <c r="C679" s="3" t="s">
        <v>2039</v>
      </c>
      <c r="D679" s="4" t="s">
        <v>2040</v>
      </c>
      <c r="F679" s="5">
        <f t="shared" si="63"/>
        <v>13</v>
      </c>
      <c r="G679" s="10">
        <v>2.6</v>
      </c>
      <c r="H679" s="7">
        <v>10.4</v>
      </c>
      <c r="I679" s="1">
        <f t="shared" si="64"/>
        <v>0.78</v>
      </c>
      <c r="J679">
        <f t="shared" si="65"/>
        <v>3.12</v>
      </c>
      <c r="K679">
        <f t="shared" si="66"/>
        <v>1.8199999999999998</v>
      </c>
      <c r="L679">
        <f t="shared" si="66"/>
        <v>7.2799999999999994</v>
      </c>
    </row>
    <row r="680" spans="1:12" x14ac:dyDescent="0.25">
      <c r="A680" s="1" t="s">
        <v>15</v>
      </c>
      <c r="B680" s="9" t="s">
        <v>2041</v>
      </c>
      <c r="C680" s="3" t="s">
        <v>2042</v>
      </c>
      <c r="D680" s="4" t="s">
        <v>2043</v>
      </c>
      <c r="F680" s="5">
        <f t="shared" si="63"/>
        <v>13</v>
      </c>
      <c r="G680" s="10">
        <v>2.6</v>
      </c>
      <c r="H680" s="7">
        <v>10.4</v>
      </c>
      <c r="I680" s="1">
        <f t="shared" si="64"/>
        <v>0.78</v>
      </c>
      <c r="J680">
        <f t="shared" si="65"/>
        <v>3.12</v>
      </c>
      <c r="K680">
        <f t="shared" si="66"/>
        <v>1.8199999999999998</v>
      </c>
      <c r="L680">
        <f t="shared" si="66"/>
        <v>7.2799999999999994</v>
      </c>
    </row>
    <row r="681" spans="1:12" ht="75" x14ac:dyDescent="0.25">
      <c r="A681" s="1" t="s">
        <v>15</v>
      </c>
      <c r="B681" s="9" t="s">
        <v>2044</v>
      </c>
      <c r="C681" s="3" t="s">
        <v>2045</v>
      </c>
      <c r="D681" s="4" t="s">
        <v>2046</v>
      </c>
      <c r="F681" s="5"/>
      <c r="G681" s="10"/>
      <c r="H681" s="7"/>
      <c r="I681" s="1">
        <f t="shared" si="64"/>
        <v>0</v>
      </c>
      <c r="J681">
        <f t="shared" si="65"/>
        <v>0</v>
      </c>
      <c r="K681">
        <f t="shared" si="66"/>
        <v>0</v>
      </c>
      <c r="L681">
        <f t="shared" si="66"/>
        <v>0</v>
      </c>
    </row>
    <row r="682" spans="1:12" ht="30" x14ac:dyDescent="0.25">
      <c r="A682" s="1" t="s">
        <v>15</v>
      </c>
      <c r="B682" s="9" t="s">
        <v>2047</v>
      </c>
      <c r="C682" s="3" t="s">
        <v>2048</v>
      </c>
      <c r="D682" s="4" t="s">
        <v>2049</v>
      </c>
      <c r="F682" s="5"/>
      <c r="G682" s="10"/>
      <c r="H682" s="7"/>
      <c r="I682" s="1">
        <f t="shared" si="64"/>
        <v>0</v>
      </c>
      <c r="J682">
        <f t="shared" si="65"/>
        <v>0</v>
      </c>
      <c r="K682">
        <f t="shared" si="66"/>
        <v>0</v>
      </c>
      <c r="L682">
        <f t="shared" si="66"/>
        <v>0</v>
      </c>
    </row>
    <row r="683" spans="1:12" x14ac:dyDescent="0.25">
      <c r="A683" s="1" t="s">
        <v>15</v>
      </c>
      <c r="B683" s="9" t="s">
        <v>2050</v>
      </c>
      <c r="C683" s="3" t="s">
        <v>2051</v>
      </c>
      <c r="D683" s="4" t="s">
        <v>2052</v>
      </c>
      <c r="F683" s="5"/>
      <c r="G683" s="10"/>
      <c r="H683" s="7"/>
      <c r="I683" s="1">
        <f t="shared" si="64"/>
        <v>0</v>
      </c>
      <c r="J683">
        <f t="shared" si="65"/>
        <v>0</v>
      </c>
      <c r="K683">
        <f t="shared" si="66"/>
        <v>0</v>
      </c>
      <c r="L683">
        <f t="shared" si="66"/>
        <v>0</v>
      </c>
    </row>
    <row r="684" spans="1:12" x14ac:dyDescent="0.25">
      <c r="A684" s="1" t="s">
        <v>15</v>
      </c>
      <c r="B684" s="9" t="s">
        <v>2053</v>
      </c>
      <c r="C684" s="3" t="s">
        <v>2054</v>
      </c>
      <c r="D684" s="4" t="s">
        <v>2055</v>
      </c>
      <c r="F684" s="5"/>
      <c r="G684" s="10"/>
      <c r="H684" s="7"/>
      <c r="I684" s="1">
        <f t="shared" si="64"/>
        <v>0</v>
      </c>
      <c r="J684">
        <f t="shared" si="65"/>
        <v>0</v>
      </c>
      <c r="K684">
        <f t="shared" si="66"/>
        <v>0</v>
      </c>
      <c r="L684">
        <f t="shared" si="66"/>
        <v>0</v>
      </c>
    </row>
    <row r="685" spans="1:12" x14ac:dyDescent="0.25">
      <c r="A685" s="1" t="s">
        <v>15</v>
      </c>
      <c r="B685" s="9" t="s">
        <v>2056</v>
      </c>
      <c r="C685" s="3" t="s">
        <v>2057</v>
      </c>
      <c r="D685" s="4" t="s">
        <v>2058</v>
      </c>
      <c r="F685" s="5"/>
      <c r="G685" s="10"/>
      <c r="H685" s="7"/>
      <c r="I685" s="1">
        <f t="shared" si="64"/>
        <v>0</v>
      </c>
      <c r="J685">
        <f t="shared" si="65"/>
        <v>0</v>
      </c>
      <c r="K685">
        <f t="shared" si="66"/>
        <v>0</v>
      </c>
      <c r="L685">
        <f t="shared" si="66"/>
        <v>0</v>
      </c>
    </row>
    <row r="686" spans="1:12" x14ac:dyDescent="0.25">
      <c r="A686" s="1" t="s">
        <v>15</v>
      </c>
      <c r="B686" s="9" t="s">
        <v>2059</v>
      </c>
      <c r="C686" s="3" t="s">
        <v>2060</v>
      </c>
      <c r="D686" s="13" t="s">
        <v>2061</v>
      </c>
      <c r="F686" s="5">
        <f>G686+H686</f>
        <v>32.5</v>
      </c>
      <c r="G686" s="10">
        <v>6.5</v>
      </c>
      <c r="H686" s="7">
        <v>26</v>
      </c>
      <c r="I686" s="1">
        <f t="shared" si="64"/>
        <v>1.95</v>
      </c>
      <c r="J686">
        <f t="shared" si="65"/>
        <v>7.8</v>
      </c>
      <c r="K686">
        <f t="shared" si="66"/>
        <v>4.55</v>
      </c>
      <c r="L686">
        <f t="shared" si="66"/>
        <v>18.2</v>
      </c>
    </row>
    <row r="687" spans="1:12" x14ac:dyDescent="0.25">
      <c r="F687" s="5"/>
      <c r="G687" s="10"/>
      <c r="H687" s="7"/>
    </row>
    <row r="688" spans="1:12" x14ac:dyDescent="0.25">
      <c r="F688" s="5"/>
      <c r="G688" s="35"/>
      <c r="H68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2020-12-15T13:37:24Z</dcterms:modified>
</cp:coreProperties>
</file>