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beh.abidi\Desktop\09-17\09-18\"/>
    </mc:Choice>
  </mc:AlternateContent>
  <bookViews>
    <workbookView xWindow="-28920" yWindow="-1200" windowWidth="29040" windowHeight="16440" tabRatio="601" firstSheet="1" activeTab="1"/>
  </bookViews>
  <sheets>
    <sheet name="Instructions for Use" sheetId="6" state="hidden" r:id="rId1"/>
    <sheet name="DocumentEtude" sheetId="1" r:id="rId2"/>
    <sheet name="Dictionary" sheetId="2" state="hidden" r:id="rId3"/>
  </sheets>
  <definedNames>
    <definedName name="Clientnum">#REF!</definedName>
    <definedName name="des">#REF!</definedName>
    <definedName name="eppmnum">#REF!</definedName>
    <definedName name="IMP">DocumentEtude!#REF!</definedName>
    <definedName name="proc">#REF!</definedName>
    <definedName name="Project">#REF!</definedName>
    <definedName name="Project_title">#REF!</definedName>
    <definedName name="rev">#REF!</definedName>
    <definedName name="Revision">#REF!</definedName>
    <definedName name="sd">#REF!</definedName>
    <definedName name="Serial">#REF!</definedName>
    <definedName name="wrn.Equipment._.List." hidden="1">{#N/A,#N/A,TRUE,"COVERSHEET";#N/A,#N/A,TRUE,"LEGEND";#N/A,#N/A,TRUE,"LIST"}</definedName>
    <definedName name="_xlnm.Print_Area" localSheetId="1">DocumentEtude!$A$1:$I$68</definedName>
    <definedName name="_xlnm.Print_Area" localSheetId="0">'Instructions for Use'!$A$1:$AH$305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F23" i="1"/>
  <c r="H56" i="1"/>
  <c r="G56" i="1"/>
  <c r="F56" i="1"/>
  <c r="I62" i="1" l="1"/>
  <c r="H62" i="1"/>
  <c r="H57" i="1"/>
  <c r="I41" i="1"/>
  <c r="H41" i="1"/>
  <c r="G41" i="1"/>
  <c r="I29" i="1" l="1"/>
  <c r="H29" i="1"/>
  <c r="H24" i="1"/>
  <c r="I8" i="1"/>
  <c r="H8" i="1"/>
  <c r="G8" i="1"/>
</calcChain>
</file>

<file path=xl/comments1.xml><?xml version="1.0" encoding="utf-8"?>
<comments xmlns="http://schemas.openxmlformats.org/spreadsheetml/2006/main">
  <authors>
    <author>Beatrice Lelievre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Do not modify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Can be Customized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Do not modify</t>
        </r>
      </text>
    </comment>
  </commentList>
</comments>
</file>

<file path=xl/sharedStrings.xml><?xml version="1.0" encoding="utf-8"?>
<sst xmlns="http://schemas.openxmlformats.org/spreadsheetml/2006/main" count="487" uniqueCount="335">
  <si>
    <t>Using the 'xVDB Import Forecast List rev0.xlsm' Workbook</t>
  </si>
  <si>
    <t>Revision Date: 26-Jun-2018</t>
  </si>
  <si>
    <t>Table of Contents</t>
  </si>
  <si>
    <t>Workbook Presentation &amp; Use Context</t>
  </si>
  <si>
    <t>Building the Forecast List of Documents</t>
  </si>
  <si>
    <t>Importing the list in xVDB Web</t>
  </si>
  <si>
    <t>Customizing the Dictionary</t>
  </si>
  <si>
    <t>1 Workbook Presentation &amp; Use Context</t>
  </si>
  <si>
    <t>This workbook is available to all but requires the use of macros to be enabled in the application</t>
  </si>
  <si>
    <t>In order to interface with the xVDB, the minimum access level required to the xVDB is "Author" with "VDBOperator" role</t>
  </si>
  <si>
    <t>The file consists of 3 tabs :</t>
  </si>
  <si>
    <r>
      <t>- The '</t>
    </r>
    <r>
      <rPr>
        <b/>
        <sz val="11"/>
        <color theme="1"/>
        <rFont val="Calibri"/>
        <family val="2"/>
        <scheme val="minor"/>
      </rPr>
      <t>Instructions for Use</t>
    </r>
    <r>
      <rPr>
        <sz val="11"/>
        <color theme="1"/>
        <rFont val="Calibri"/>
        <family val="2"/>
        <scheme val="minor"/>
      </rPr>
      <t>' Tab (current one) describes the correct procedure for using the workbook and is for consultancy purposes only</t>
    </r>
  </si>
  <si>
    <r>
      <t>- The '</t>
    </r>
    <r>
      <rPr>
        <b/>
        <sz val="11"/>
        <color theme="1"/>
        <rFont val="Calibri"/>
        <family val="2"/>
        <scheme val="minor"/>
      </rPr>
      <t>Forecast List</t>
    </r>
    <r>
      <rPr>
        <sz val="11"/>
        <color theme="1"/>
        <rFont val="Calibri"/>
        <family val="2"/>
        <scheme val="minor"/>
      </rPr>
      <t xml:space="preserve">' Tab is the </t>
    </r>
    <r>
      <rPr>
        <b/>
        <sz val="11"/>
        <color theme="1"/>
        <rFont val="Calibri"/>
        <family val="2"/>
        <scheme val="minor"/>
      </rPr>
      <t>working sheet</t>
    </r>
    <r>
      <rPr>
        <sz val="11"/>
        <color theme="1"/>
        <rFont val="Calibri"/>
        <family val="2"/>
        <scheme val="minor"/>
      </rPr>
      <t xml:space="preserve"> used to define the identification and criterias of forecast documents and is fully editable</t>
    </r>
  </si>
  <si>
    <r>
      <t>- The '</t>
    </r>
    <r>
      <rPr>
        <b/>
        <sz val="11"/>
        <color theme="1"/>
        <rFont val="Calibri"/>
        <family val="2"/>
        <scheme val="minor"/>
      </rPr>
      <t>Dictionary</t>
    </r>
    <r>
      <rPr>
        <sz val="11"/>
        <color theme="1"/>
        <rFont val="Calibri"/>
        <family val="2"/>
        <scheme val="minor"/>
      </rPr>
      <t xml:space="preserve">' Tab is available to provide details regarding the fields for which data may be imported and </t>
    </r>
    <r>
      <rPr>
        <b/>
        <sz val="11"/>
        <color theme="1"/>
        <rFont val="Calibri"/>
        <family val="2"/>
        <scheme val="minor"/>
      </rPr>
      <t>should only be modified by trained users</t>
    </r>
  </si>
  <si>
    <r>
      <t>The '</t>
    </r>
    <r>
      <rPr>
        <b/>
        <sz val="11"/>
        <color theme="1"/>
        <rFont val="Calibri"/>
        <family val="2"/>
        <scheme val="minor"/>
      </rPr>
      <t>Forecast List</t>
    </r>
    <r>
      <rPr>
        <sz val="11"/>
        <color theme="1"/>
        <rFont val="Calibri"/>
        <family val="2"/>
        <scheme val="minor"/>
      </rPr>
      <t>' Tab displays 2 types of data fields :</t>
    </r>
  </si>
  <si>
    <t>- In Blue : the required document identification (Requisition and Document References, Document Title &amp; Forecast Date)</t>
  </si>
  <si>
    <t>- In Green : the additional document identification, specificities, characteristics, free criterias …</t>
  </si>
  <si>
    <r>
      <t>The '</t>
    </r>
    <r>
      <rPr>
        <b/>
        <sz val="11"/>
        <color theme="1"/>
        <rFont val="Calibri"/>
        <family val="2"/>
        <scheme val="minor"/>
      </rPr>
      <t>Dictionary</t>
    </r>
    <r>
      <rPr>
        <sz val="11"/>
        <color theme="1"/>
        <rFont val="Calibri"/>
        <family val="2"/>
        <scheme val="minor"/>
      </rPr>
      <t>' Tab lists all the additional fields for which data may be imported along with the specificities linked to each</t>
    </r>
  </si>
  <si>
    <t>Refer to it for information</t>
  </si>
  <si>
    <t>2 Building the Forecast List of Documents</t>
  </si>
  <si>
    <t>Begin by populating the blue cells with applicable data according to VDB Requisition</t>
  </si>
  <si>
    <t>The Requisition Reference must be consistent with the corresponding reference in xVDB</t>
  </si>
  <si>
    <r>
      <rPr>
        <b/>
        <sz val="11"/>
        <color theme="1"/>
        <rFont val="Calibri"/>
        <family val="2"/>
        <scheme val="minor"/>
      </rPr>
      <t>No special characters are allowed in Requisition &amp; Document References and Title</t>
    </r>
    <r>
      <rPr>
        <sz val="11"/>
        <color theme="1"/>
        <rFont val="Calibri"/>
        <family val="2"/>
        <scheme val="minor"/>
      </rPr>
      <t>; only letters, numbers and the "-" symbol</t>
    </r>
  </si>
  <si>
    <r>
      <t xml:space="preserve">As a general rule, the </t>
    </r>
    <r>
      <rPr>
        <b/>
        <sz val="11"/>
        <color theme="1"/>
        <rFont val="Calibri"/>
        <family val="2"/>
        <scheme val="minor"/>
      </rPr>
      <t>comma (,) is forbidden</t>
    </r>
    <r>
      <rPr>
        <sz val="11"/>
        <color theme="1"/>
        <rFont val="Calibri"/>
        <family val="2"/>
        <scheme val="minor"/>
      </rPr>
      <t xml:space="preserve"> and avoid special characters</t>
    </r>
  </si>
  <si>
    <r>
      <t xml:space="preserve">The </t>
    </r>
    <r>
      <rPr>
        <b/>
        <sz val="11"/>
        <color theme="1"/>
        <rFont val="Calibri"/>
        <family val="2"/>
        <scheme val="minor"/>
      </rPr>
      <t xml:space="preserve">Document Reference must be unique </t>
    </r>
    <r>
      <rPr>
        <sz val="11"/>
        <color theme="1"/>
        <rFont val="Calibri"/>
        <family val="2"/>
        <scheme val="minor"/>
      </rPr>
      <t>and not yet recorded in the xVDB. In case of redundancy, the second entry will not be processed by the system</t>
    </r>
  </si>
  <si>
    <t>Additional data may be imported in the forecast documents by using the green cells</t>
  </si>
  <si>
    <r>
      <t xml:space="preserve">Select from the </t>
    </r>
    <r>
      <rPr>
        <b/>
        <sz val="11"/>
        <color theme="1"/>
        <rFont val="Calibri"/>
        <family val="2"/>
        <scheme val="minor"/>
      </rPr>
      <t>drop down list</t>
    </r>
    <r>
      <rPr>
        <sz val="11"/>
        <color theme="1"/>
        <rFont val="Calibri"/>
        <family val="2"/>
        <scheme val="minor"/>
      </rPr>
      <t xml:space="preserve"> the applicable field(s) for which data will have to be imported </t>
    </r>
  </si>
  <si>
    <t>Populate the values as necessary relying on the 'Dictionary' Tab</t>
  </si>
  <si>
    <t>Warning regarding several data fields :</t>
  </si>
  <si>
    <t>- Date Fields:</t>
  </si>
  <si>
    <t xml:space="preserve">Date interpretation can be tricky depending on the local desktop configuration; it is therefore recommended to use the Date Format dd/mm/yyyy </t>
  </si>
  <si>
    <t>or tryout another excel date format on a few imported documents before applying to a numerous list of documents</t>
  </si>
  <si>
    <t>- Client Approval Required:</t>
  </si>
  <si>
    <t>Indicate 'Yes' if applicable (case sensitive), or leave blank</t>
  </si>
  <si>
    <t>- Data analysis:</t>
  </si>
  <si>
    <t>Do not skip rows or skip columns (leaving them blank) as all beyond the first encountered blank row or column will be disregarded for the import</t>
  </si>
  <si>
    <t>3 Importing the list in xVDB Web</t>
  </si>
  <si>
    <r>
      <t xml:space="preserve">In order to interface with xVDB the spreadsheet must first be transformed to a </t>
    </r>
    <r>
      <rPr>
        <b/>
        <sz val="11"/>
        <color theme="1"/>
        <rFont val="Calibri"/>
        <family val="2"/>
        <scheme val="minor"/>
      </rPr>
      <t>Text File</t>
    </r>
    <r>
      <rPr>
        <sz val="11"/>
        <color theme="1"/>
        <rFont val="Calibri"/>
        <family val="2"/>
        <scheme val="minor"/>
      </rPr>
      <t xml:space="preserve"> for import in the xVDB</t>
    </r>
  </si>
  <si>
    <r>
      <t>Once all the metadata has been filled in following the requirements and warnings, use the '</t>
    </r>
    <r>
      <rPr>
        <b/>
        <i/>
        <sz val="11"/>
        <color theme="1"/>
        <rFont val="Calibri"/>
        <family val="2"/>
        <scheme val="minor"/>
      </rPr>
      <t>Generate Import File</t>
    </r>
    <r>
      <rPr>
        <sz val="11"/>
        <color theme="1"/>
        <rFont val="Calibri"/>
        <family val="2"/>
        <scheme val="minor"/>
      </rPr>
      <t>' button</t>
    </r>
  </si>
  <si>
    <t>Save the Text File in an easy access location and clear name for further browsing</t>
  </si>
  <si>
    <t>Confirmation of generated Text File is displayed along with complete file path and the number of documents found in the list</t>
  </si>
  <si>
    <t>The Text File is now to be imported in the corresponding xVDB</t>
  </si>
  <si>
    <r>
      <t>In the '</t>
    </r>
    <r>
      <rPr>
        <b/>
        <sz val="11"/>
        <color theme="1"/>
        <rFont val="Calibri"/>
        <family val="2"/>
        <scheme val="minor"/>
      </rPr>
      <t>Works</t>
    </r>
    <r>
      <rPr>
        <sz val="11"/>
        <color theme="1"/>
        <rFont val="Calibri"/>
        <family val="2"/>
        <scheme val="minor"/>
      </rPr>
      <t>' section of the '</t>
    </r>
    <r>
      <rPr>
        <b/>
        <sz val="11"/>
        <color theme="1"/>
        <rFont val="Calibri"/>
        <family val="2"/>
        <scheme val="minor"/>
      </rPr>
      <t>Requisitions &amp; Purchase Orders</t>
    </r>
    <r>
      <rPr>
        <sz val="11"/>
        <color theme="1"/>
        <rFont val="Calibri"/>
        <family val="2"/>
        <scheme val="minor"/>
      </rPr>
      <t>' Menu, use the '</t>
    </r>
    <r>
      <rPr>
        <b/>
        <sz val="11"/>
        <color theme="1"/>
        <rFont val="Calibri"/>
        <family val="2"/>
        <scheme val="minor"/>
      </rPr>
      <t>Import Forecast List</t>
    </r>
    <r>
      <rPr>
        <sz val="11"/>
        <color theme="1"/>
        <rFont val="Calibri"/>
        <family val="2"/>
        <scheme val="minor"/>
      </rPr>
      <t>' action</t>
    </r>
  </si>
  <si>
    <t>Browse to select the Text File generated and saved previously</t>
  </si>
  <si>
    <t>The upload time depends on the number of metadata to process</t>
  </si>
  <si>
    <t>Upon completion, the following message is displayed and e-mail is received (when no issue is encountered)</t>
  </si>
  <si>
    <t>In case the Import Process encounters any issue, it will be reported in the received e-mail (example here-after):</t>
  </si>
  <si>
    <t>In the xVDB, all successfully created Forecast Documents are then available, with all provided metadata, for first record</t>
  </si>
  <si>
    <t>4 Customizing the Dictionary</t>
  </si>
  <si>
    <r>
      <rPr>
        <b/>
        <sz val="11"/>
        <color theme="1"/>
        <rFont val="Calibri"/>
        <family val="2"/>
        <scheme val="minor"/>
      </rPr>
      <t>Only trained users</t>
    </r>
    <r>
      <rPr>
        <sz val="11"/>
        <color theme="1"/>
        <rFont val="Calibri"/>
        <family val="2"/>
        <scheme val="minor"/>
      </rPr>
      <t xml:space="preserve"> should customize the 'Dictionary' Tab to fit the project use of characteristics and free criterias</t>
    </r>
  </si>
  <si>
    <t>- The 'Field Label' list corresponds to the labels displayed in the xVDB document :</t>
  </si>
  <si>
    <t>It should NOT be modified as it enables mapping within the document</t>
  </si>
  <si>
    <r>
      <t>- The '</t>
    </r>
    <r>
      <rPr>
        <b/>
        <sz val="11"/>
        <color theme="1"/>
        <rFont val="Calibri"/>
        <family val="2"/>
        <scheme val="minor"/>
      </rPr>
      <t>Project Specific Label</t>
    </r>
    <r>
      <rPr>
        <sz val="11"/>
        <color theme="1"/>
        <rFont val="Calibri"/>
        <family val="2"/>
        <scheme val="minor"/>
      </rPr>
      <t>' list corresponds to the actual meaning of the fields on the project if different from standard</t>
    </r>
  </si>
  <si>
    <t>This can be modified (especially for the Free Criteria labels) before beginning to fill in the 'Forecast List' table</t>
  </si>
  <si>
    <t>- Column C is hidden on purpose. It contains the technical field labels used to fill in the correct fields in the xVDB document</t>
  </si>
  <si>
    <t>IT MUSN'T BE MODIFIED UNDER ANY CIRCUMSTANCE</t>
  </si>
  <si>
    <t>- The 'Unique or Multiple Value(s)' &amp; 'Format / Separator' lists indicate whether a field can contain several data or not and the format to use for each</t>
  </si>
  <si>
    <t>It should NOT be modified</t>
  </si>
  <si>
    <r>
      <t>- The '</t>
    </r>
    <r>
      <rPr>
        <b/>
        <sz val="11"/>
        <color theme="1"/>
        <rFont val="Calibri"/>
        <family val="2"/>
        <scheme val="minor"/>
      </rPr>
      <t>Project Specific Remark</t>
    </r>
    <r>
      <rPr>
        <sz val="11"/>
        <color theme="1"/>
        <rFont val="Calibri"/>
        <family val="2"/>
        <scheme val="minor"/>
      </rPr>
      <t>' list is dedicated to the project users and in no way used by the system</t>
    </r>
  </si>
  <si>
    <t>It could list for example the acceptable project values for various fields</t>
  </si>
  <si>
    <t>VendorDocRef</t>
  </si>
  <si>
    <t>VendorDocNm</t>
  </si>
  <si>
    <t>Doc Items</t>
  </si>
  <si>
    <t>ICD</t>
  </si>
  <si>
    <t>As-Built required</t>
  </si>
  <si>
    <t>CTR Review Code (IFR/IFI)</t>
  </si>
  <si>
    <t>Native File Required</t>
  </si>
  <si>
    <t>Field Label</t>
  </si>
  <si>
    <t>Project Specific Label</t>
  </si>
  <si>
    <t>NotesItem</t>
  </si>
  <si>
    <t>Unique or Multiple Value(s)</t>
  </si>
  <si>
    <t>Format / Separator</t>
  </si>
  <si>
    <t>Project Specific Remark</t>
  </si>
  <si>
    <t>Secondary Document Reference</t>
  </si>
  <si>
    <t>VendorDocClientRef</t>
  </si>
  <si>
    <t>Unique</t>
  </si>
  <si>
    <t>référence given by the VENDOR</t>
  </si>
  <si>
    <t>Other Reference</t>
  </si>
  <si>
    <t>Return Code to Vendor</t>
  </si>
  <si>
    <t>VendorDocOtherClientRef</t>
  </si>
  <si>
    <t>to add in all VDB/SDB</t>
  </si>
  <si>
    <t>Document Format</t>
  </si>
  <si>
    <t>VendorDocFormat</t>
  </si>
  <si>
    <t>Multiple</t>
  </si>
  <si>
    <t>,</t>
  </si>
  <si>
    <t>Document Number of Pages</t>
  </si>
  <si>
    <t>VendorDocNumPages</t>
  </si>
  <si>
    <t>Number only</t>
  </si>
  <si>
    <t>Document Language</t>
  </si>
  <si>
    <t>VendorDocLanguage</t>
  </si>
  <si>
    <t>Ultimate Due Date</t>
  </si>
  <si>
    <t>UltimateDt_1</t>
  </si>
  <si>
    <t>Date Format : dd/mm/yyyy</t>
  </si>
  <si>
    <t>Remarks</t>
  </si>
  <si>
    <t>VendorDocRemark</t>
  </si>
  <si>
    <t>Revision Number</t>
  </si>
  <si>
    <t>VendorDocRevNo</t>
  </si>
  <si>
    <t>Revision Date</t>
  </si>
  <si>
    <t>VendorDocRevDt</t>
  </si>
  <si>
    <t>Revision Object</t>
  </si>
  <si>
    <t>VendorDocRevObject</t>
  </si>
  <si>
    <t>Vendor Transmittal</t>
  </si>
  <si>
    <t>VendorTransRef</t>
  </si>
  <si>
    <t>Client Approval Required</t>
  </si>
  <si>
    <t>ClientApprovalRequired</t>
  </si>
  <si>
    <t>Yes or leave blank</t>
  </si>
  <si>
    <t>Free Criteria 1</t>
  </si>
  <si>
    <t>Document Class</t>
  </si>
  <si>
    <t>Category_1</t>
  </si>
  <si>
    <t>Free Criteria 2</t>
  </si>
  <si>
    <t>Category_2</t>
  </si>
  <si>
    <t>Free Criteria 3</t>
  </si>
  <si>
    <t>Document type-Subtype</t>
  </si>
  <si>
    <t>Category_3</t>
  </si>
  <si>
    <t>Free Criteria 4</t>
  </si>
  <si>
    <t>Discipline-Subdiscipline</t>
  </si>
  <si>
    <t>Category_4</t>
  </si>
  <si>
    <t>Free Criteria 5</t>
  </si>
  <si>
    <t>Category_5</t>
  </si>
  <si>
    <t>Free Criteria 6</t>
  </si>
  <si>
    <t>Subcontractor</t>
  </si>
  <si>
    <t>Category_6</t>
  </si>
  <si>
    <t>Free Criteria 7</t>
  </si>
  <si>
    <t>Category_7</t>
  </si>
  <si>
    <t>Free Criteria 8</t>
  </si>
  <si>
    <t>Reviewing OC</t>
  </si>
  <si>
    <t>Category_8</t>
  </si>
  <si>
    <t>Free Criteria 9</t>
  </si>
  <si>
    <t>CategoryDt_9</t>
  </si>
  <si>
    <t>Free Criteria 10</t>
  </si>
  <si>
    <t>CategoryDt_10</t>
  </si>
  <si>
    <t>Free Criteria 11</t>
  </si>
  <si>
    <t>CategoryDt_11</t>
  </si>
  <si>
    <t>Free Criteria 12</t>
  </si>
  <si>
    <t>CategoryDt_12</t>
  </si>
  <si>
    <t>Free Criteria 13</t>
  </si>
  <si>
    <t>System-Unit</t>
  </si>
  <si>
    <t>Category_13</t>
  </si>
  <si>
    <t>Free Criteria 14</t>
  </si>
  <si>
    <t>Category_14</t>
  </si>
  <si>
    <t>Free Criteria 15</t>
  </si>
  <si>
    <t>Merger</t>
  </si>
  <si>
    <t>Category_15</t>
  </si>
  <si>
    <t>used in SDB</t>
  </si>
  <si>
    <t>Free Criteria 16</t>
  </si>
  <si>
    <t>Category_16</t>
  </si>
  <si>
    <t>NA</t>
  </si>
  <si>
    <t>STRUCTURAL STEEL CALCULATIONS BACK-UP SALES GAS METERING SKID 60-Y0451 FOR METERING SYSTEMS</t>
  </si>
  <si>
    <t>3945_18-IN20510A-00263</t>
  </si>
  <si>
    <t>3945_18-IN20510A-00627</t>
  </si>
  <si>
    <t>POWER &amp; UTILITY CONSUMPTION CALCULATION SHEET - 60-Y0451 FOR METERING SYSTEMS</t>
  </si>
  <si>
    <t>PIPING AND INSTRUMENTATION DIAGRAM (P&amp;ID) BACK-UP SALES GAS ANALYSER SYSTEM 60-Y0451</t>
  </si>
  <si>
    <t>3945_18-IN20510A-00008</t>
  </si>
  <si>
    <t>GENERAL ARRANGEMENT DRAWINGS BACK-UP SALES GAS ANALYSER SYSTEM 60-Y0451 FOR METERING SYSTEMS</t>
  </si>
  <si>
    <t>3945_18-IN20510A-00174</t>
  </si>
  <si>
    <t>3D MODEL BACK-UP SALES GAS METERING SKID 60-Y0451 FOR METERING SYSTEMS</t>
  </si>
  <si>
    <t>3945_18-IN20510A-00172</t>
  </si>
  <si>
    <t>GENERAL ARRANGEMENT DRAWINGS BACK-UP SALES GAS METERING SKID 60-Y0451 FOR METERING SYSTEMS</t>
  </si>
  <si>
    <t>3945_18-IN20510A-00241</t>
  </si>
  <si>
    <t>PIPING AND INSTRUMENTATION DIAGRAM (P&amp;ID) BACK-UP SALES GAS METERING SKID 60-Y0451 FOR METERING SYSTEMS</t>
  </si>
  <si>
    <t>3945_18-IN20510A-00006</t>
  </si>
  <si>
    <t>PIPING STRESS CALCULATIONS BACK-UP SALES GAS METERING SKID 60-Y0451 FOR METERING SYSTEMS</t>
  </si>
  <si>
    <t>3945_18-IN20510A-00285</t>
  </si>
  <si>
    <t>NAMEPLATE SKIDS GAS 60-Y0451 FOR METERING SYSTEMS</t>
  </si>
  <si>
    <t>3945_18-IN20510A-00154</t>
  </si>
  <si>
    <t>ISOMETRICS BOOK DRAWINGS BACK-UP SALES GAS METERING SKID 60-Y0451 FOR METERING SYSTEMS</t>
  </si>
  <si>
    <t>3945_18-IN20510A-00193</t>
  </si>
  <si>
    <t>3945_18-IN20510A-00223</t>
  </si>
  <si>
    <t>STRUCTURAL STEEL DETAIL DRAWINGS BACK-UP SALES GAS METERING SKID 60-Y0451 FOR METERING SYSTEMS</t>
  </si>
  <si>
    <t>CABLE BLOCK DIAGRAM GAS SKIDS - 60-Y0451 FOR METERING SYSTEMS</t>
  </si>
  <si>
    <t>3945_18-IN20510A-00433</t>
  </si>
  <si>
    <t>SINGLE LINE DIAGRAM SKID GAS - 60-Y0451 FOR METERING SYSTEMS</t>
  </si>
  <si>
    <t>3945_18-IN20510A-00629</t>
  </si>
  <si>
    <t>POWER DISTRIBUTION BOARD DIAGRAMS GAS - 60-Y0451 FOR METERING SYSTEMS</t>
  </si>
  <si>
    <t>3945_18-IN20510A-00631</t>
  </si>
  <si>
    <t>JUNCTION BOX DIAGRAM - GAS - 60-Y0451 FOR METERING SYSTEMS</t>
  </si>
  <si>
    <t>3945_18-IN20510A-00547</t>
  </si>
  <si>
    <t>CABLES LISTS GAS - 60-Y0451 FOR METERING SYSTEMS</t>
  </si>
  <si>
    <t>3945_18-IN20510A-00309</t>
  </si>
  <si>
    <t>INSTRUMENT HOOK UP DRAWINGS AND MOUNTING DETAILS - GAS - 60-Y0451 FOR METERING SYSTEMS</t>
  </si>
  <si>
    <t>3945_18-IN20510A-00633</t>
  </si>
  <si>
    <t>FLOW METERING SUPERVISORY COMPUTER CABINET GAS GA DRAWING (ITR-87A) 61-Y3101 - 60-Y0451 - 60-Y0701</t>
  </si>
  <si>
    <t>3945_18-IN20510A-00396</t>
  </si>
  <si>
    <t>FLOW METERING FLOW COMPUTER CABINET GA DRAWING (ITR-87A) 60-Y0451 FOR METERING SYSTEMS</t>
  </si>
  <si>
    <t>3945_18-IN20510A-00635</t>
  </si>
  <si>
    <t>LOOP WIRING DRAWINGS SUPERVISORY COMPUTER CABINET GAS (ITR-87A) 61-Y3101 - 60-Y0451 - 60-Y0701 FOR</t>
  </si>
  <si>
    <t>3945_18-IN20510A-00416</t>
  </si>
  <si>
    <t>LOOP WIRING DRAWINGS FLOW COMPUTER CABINET GAS (ITR-87A) 60-Y0451 FOR METERING SYSTEMS</t>
  </si>
  <si>
    <t>3945_18-IN20510A-00625</t>
  </si>
  <si>
    <t>FOUNDATION LAYOUT AND LOADING PLAN BACK-UP SALES GAS METERING SKID 60-Y0451 FOR METERING SYSTEMS</t>
  </si>
  <si>
    <t>3945_18-IN20510A-00575</t>
  </si>
  <si>
    <t>MTO PIPING - 60-Y0451 FOR METERING SYSTEMS</t>
  </si>
  <si>
    <t>MTO STUD-BOLTS - 60-Y0451 FOR METERING SYSTEMS</t>
  </si>
  <si>
    <t>MTO U-BOLTS - 60-Y0451 FOR METERING SYSTEMS</t>
  </si>
  <si>
    <t>MTO GASKETS - 60-Y0451 FOR METERING SYSTEMS</t>
  </si>
  <si>
    <t>3D MODEL BACK-UP SALES GAS ANALYSER SYSTEM 60-Y0451 FOR METERING SYSTEMS</t>
  </si>
  <si>
    <t>K-3945_18-IN20510A-00243</t>
  </si>
  <si>
    <t>CABLE BLOCK DIAGRAM ANALYSER CABINET - 60-Y0451 FOR METERING SYSTEMS</t>
  </si>
  <si>
    <t>3945_18-IN20510A-00527</t>
  </si>
  <si>
    <t>CABLES LISTS ANALYSER CABINET - 60-Y0451 FOR METERING SYSTEMS</t>
  </si>
  <si>
    <t>3945_18-IN20510A-00562</t>
  </si>
  <si>
    <t>JUNCTION BOX DIAGRAM - ANALYSER CABINET - 60-Y0451 FOR METERING SYSTEMS</t>
  </si>
  <si>
    <t>3945_18-IN20510A-00553</t>
  </si>
  <si>
    <t>POWER DISTRIBUTION BOARD DIAGRAMS ANALYSER CABINET - 60-Y0451 FOR METERING SYSTEMS</t>
  </si>
  <si>
    <t>3945_18-IN20510A-00591</t>
  </si>
  <si>
    <t>SINGLE LINE DIAGRAM ANALYSER CABINET - 60-Y0451 FOR METERING SYSTEMS</t>
  </si>
  <si>
    <t>3945_18-IN20510A-00586</t>
  </si>
  <si>
    <t>3945_18-IN20510A-00302</t>
  </si>
  <si>
    <t>HARDWIRED I/O LIST FOR METERING SYSTEMS</t>
  </si>
  <si>
    <t>PIPING STRESS CALCULATIONS C2 VAPOUR METERING SKID 60-Y0701 FOR METERING SYSTEMS</t>
  </si>
  <si>
    <t>STRUCTURAL STEEL CALCULATIONS C2 VAPOUR METERING SKID 60-Y0701 FOR METERING SYSTEMS</t>
  </si>
  <si>
    <t>PIPING AND INSTRUMENTATION DIAGRAM (P&amp;ID) C2 VAPOUR METERING SKID 60-Y0701 FOR METERING SYSTEMS</t>
  </si>
  <si>
    <t>3945_18-IN20510A-00007</t>
  </si>
  <si>
    <t>3945_18-IN20510A-00173</t>
  </si>
  <si>
    <t>GENERAL ARRANGEMENT DRAWINGS C2 VAPOUR METERING SKID 60-Y0701 FOR METERING SYSTEMS</t>
  </si>
  <si>
    <t>3945_18-IN20510A-00242</t>
  </si>
  <si>
    <t>3D MODEL C2 VAPOUR METERING SKID 60-Y0701 FOR METERING SYSTEMS</t>
  </si>
  <si>
    <t>NAMEPLATE SKIDS GAS 60-Y0701 FOR METERING SYSTEMS</t>
  </si>
  <si>
    <t>3945_18-IN20510A-00155</t>
  </si>
  <si>
    <t>ISOMETRICS BOOK DRAWINGS C2 VAPOUR METERING SKID 60-Y0701 FOR METERING SYSTEMS</t>
  </si>
  <si>
    <t>3945_18-IN20510A-00194</t>
  </si>
  <si>
    <t>3945_18-IN20510A-00224</t>
  </si>
  <si>
    <t>STRUCTURAL STEEL DETAIL DRAWINGS C2 VAPOUR METERING SKID 60-Y0701 FOR METERING SYSTEMS</t>
  </si>
  <si>
    <t>FOUNDATION LAYOUT AND LOADING PLAN C2 VAPOUR METERING SKID 60-Y0701 FOR METERING SYSTEMS</t>
  </si>
  <si>
    <t>3945_18-IN20510A-00576</t>
  </si>
  <si>
    <t>MTO PIPING - 60-Y0701 FOR METERING SYSTEMS</t>
  </si>
  <si>
    <t>MTO STUD-BOLTS - 60-Y0701 FOR METERING SYSTEMS</t>
  </si>
  <si>
    <t>MTO U-BOLTS - 60-Y0701 FOR METERING SYSTEMS</t>
  </si>
  <si>
    <t>MTO GASKETS - 60-Y0701 FOR METERING SYSTEMS</t>
  </si>
  <si>
    <t>3945_18-IN20510A-00009</t>
  </si>
  <si>
    <t>GENERAL ARRANGEMENT DRAWINGS C2 VAPOUR ANALYSER SYSTEM 60-Y0701 FOR METERING SYSTEMS</t>
  </si>
  <si>
    <t>3945_18-IN20510A-00175</t>
  </si>
  <si>
    <t>3D MODEL C2 VAPOUR ANALYSER SYSTEM 60-Y0701 FOR METERING SYSTEMS</t>
  </si>
  <si>
    <t>K-3945_18-IN20510A-00244</t>
  </si>
  <si>
    <t>PIPING AND INSTRUMENTATION DIAGRAM (P&amp;ID) C2 VAPOUR ANALYSER SYSTEM 60-Y0701  FOR METERING SYSTEMS</t>
  </si>
  <si>
    <t>LOOP WIRING DRAWINGS SUPERVISORY COMPUTER CABINET GAS (ITR-87A) 61-Y3101 - 60-Y0451 - 60-Y0701</t>
  </si>
  <si>
    <t>POWER &amp; UTILITY CONSUMPTION CALCULATION SHEET - 60-Y0701 FOR METERING SYSTEMS</t>
  </si>
  <si>
    <t>3945_18-IN20510A-00628</t>
  </si>
  <si>
    <t>CABLE BLOCK DIAGRAM GAS SKIDS - 60-Y0701 FOR METERING SYSTEMS</t>
  </si>
  <si>
    <t>3945_18-IN20510A-00434</t>
  </si>
  <si>
    <t>SINGLE LINE DIAGRAM SKID GAS - 60-Y0701 FOR METERING SYSTEMS</t>
  </si>
  <si>
    <t>3945_18-IN20510A-00630</t>
  </si>
  <si>
    <t>3945_18-IN20510A-00632</t>
  </si>
  <si>
    <t>POWER DISTRIBUTION BOARD DIAGRAMS GAS - 60-Y0701 FOR METERING SYSTEMS</t>
  </si>
  <si>
    <t>CABLE BLOCK DIAGRAM ANALYSER CABINET - 60-Y0701 FOR METERING SYSTEMS</t>
  </si>
  <si>
    <t>3945_18-IN20510A-00528</t>
  </si>
  <si>
    <t>3945_18-IN20510A-00548</t>
  </si>
  <si>
    <t>JUNCTION BOX DIAGRAM - GAS - 60-Y0701 FOR METERING SYSTEMS</t>
  </si>
  <si>
    <t>3945_18-IN20510A-00555</t>
  </si>
  <si>
    <t>JUNCTION BOX DIAGRAM - ANALYSER CABINET - 60-Y0701 FOR METERING SYSTEMS</t>
  </si>
  <si>
    <t>3945_18-IN20510A-00310</t>
  </si>
  <si>
    <t>CABLES LISTS GAS - 60-Y0701 FOR METERING SYSTEMS</t>
  </si>
  <si>
    <t>CABLES LISTS ANALYSER CABINET - 60-Y0701 FOR METERING SYSTEMS</t>
  </si>
  <si>
    <t>3945_18-IN20510A-00563</t>
  </si>
  <si>
    <t>INSTRUMENT HOOK UP DRAWINGS AND MOUNTING DETAILS - GAS - 60-Y0701 FOR METERING SYSTEMS</t>
  </si>
  <si>
    <t>3945_18-IN20510A-00634</t>
  </si>
  <si>
    <t>FLOW METERING FLOW COMPUTER CABINET GA DRAWING (ITR-87A) 60-Y07011 FOR METERING SYSTEMS</t>
  </si>
  <si>
    <t>LOOP WIRING DRAWINGS FLOW COMPUTER CABINET GAS (ITR-87A) 60-Y0701 FOR METERING SYSTEMS</t>
  </si>
  <si>
    <t>3945_18-IN20510A-00636</t>
  </si>
  <si>
    <t>3945_18-IN20510A-00626</t>
  </si>
  <si>
    <t>3945_18-IN20510A-00592</t>
  </si>
  <si>
    <t>AR0522-CLC-ME-05-201</t>
  </si>
  <si>
    <t>AR0522-CLC-ME-06-201</t>
  </si>
  <si>
    <t>AR0522-CLC-CV-05-201</t>
  </si>
  <si>
    <t>AR0522-DWG-CV-05-201</t>
  </si>
  <si>
    <t>AR0522-DWG-CV-05-202</t>
  </si>
  <si>
    <t>AR0522-CLC-CV-06-201</t>
  </si>
  <si>
    <t>AR0522-DWG-CV-06-201</t>
  </si>
  <si>
    <t>AR0522-DWG-CV-06-202</t>
  </si>
  <si>
    <t>AR0522-DWG-PP-05-201</t>
  </si>
  <si>
    <t>AR0522-DWG-PP-05-202</t>
  </si>
  <si>
    <t>AR0522-DWG-PP-05-203</t>
  </si>
  <si>
    <t>AR0522-DWG-PP-05-204</t>
  </si>
  <si>
    <t>AR0522-DWG-PP-05-205</t>
  </si>
  <si>
    <t>AR0522-LIS-PP-05-201</t>
  </si>
  <si>
    <t>AR0522-LIS-PP-05-202</t>
  </si>
  <si>
    <t>AR0522-LIS-PP-05-203</t>
  </si>
  <si>
    <t>AR0522-LIS-PP-05-204</t>
  </si>
  <si>
    <t>AR0522-DWG-PP-06-201</t>
  </si>
  <si>
    <t>AR0522-DWG-PP-06-202</t>
  </si>
  <si>
    <t>AR0522-DWG-PP-06-203</t>
  </si>
  <si>
    <t>AR0522-DWG-PP-06-204</t>
  </si>
  <si>
    <t>AR0522-DWG-PP-06-205</t>
  </si>
  <si>
    <t>AR0522-LIS-PP-06-201</t>
  </si>
  <si>
    <t>AR0522-LIS-PP-06-202</t>
  </si>
  <si>
    <t>AR0522-LIS-PP-06-203</t>
  </si>
  <si>
    <t>AR0522-LIS-PP-06-204</t>
  </si>
  <si>
    <t>AR0522-CLC-EL-05-201</t>
  </si>
  <si>
    <t>AR0522-DWG-EL-05-201</t>
  </si>
  <si>
    <t>AR0522-DWG-EL-05-202</t>
  </si>
  <si>
    <t>AR0522-CLC-EL-06-201</t>
  </si>
  <si>
    <t>AR0522-DWG-EL-06-201</t>
  </si>
  <si>
    <t>AR0522-DWG-EL-06-202</t>
  </si>
  <si>
    <t>AR0522-LIS-IN-05-201</t>
  </si>
  <si>
    <t>AR0522-LIS-IN-05-202</t>
  </si>
  <si>
    <t>AR0522-DWG-IN-05-201</t>
  </si>
  <si>
    <t>AR0522-DWG-IN-05-202</t>
  </si>
  <si>
    <t>AR0522-DWG-IN-05-203</t>
  </si>
  <si>
    <t>AR0522-DWG-IN-05-204</t>
  </si>
  <si>
    <t>AR0522-DWG-IN-05-205</t>
  </si>
  <si>
    <t>AR0522-DWG-IN-05-206</t>
  </si>
  <si>
    <t>AR0522-DWG-IN-05-207</t>
  </si>
  <si>
    <t>AR0522-LIS-IN-06-201</t>
  </si>
  <si>
    <t>AR0522-LIS-IN-06-202</t>
  </si>
  <si>
    <t>AR0522-DWG-IN-06-201</t>
  </si>
  <si>
    <t>AR0522-DWG-IN-06-202</t>
  </si>
  <si>
    <t>AR0522-DWG-IN-06-203</t>
  </si>
  <si>
    <t>AR0522-DWG-IN-06-204</t>
  </si>
  <si>
    <t>AR0522-DWG-IN-06-205</t>
  </si>
  <si>
    <t>AR0522-DWG-IN-06-206</t>
  </si>
  <si>
    <t>AR0522-DWG-IN-06-207</t>
  </si>
  <si>
    <t>AR0522-DWG-IN-06-208</t>
  </si>
  <si>
    <t>AR0522-DWG-IN-06-209</t>
  </si>
  <si>
    <t>AR0522-DWG-IN-06-210</t>
  </si>
  <si>
    <t>AR0522-DWG-EL-06-203</t>
  </si>
  <si>
    <t>AR0522-DWG-EL-06-204</t>
  </si>
  <si>
    <t>AR0522-DWG-PP-06-206</t>
  </si>
  <si>
    <t>AR0522-DWG-PP-06-207</t>
  </si>
  <si>
    <t>AR0522-DWG-PP-06-208</t>
  </si>
  <si>
    <t>AR0522-DWG-IN-05-208</t>
  </si>
  <si>
    <t>AR0522-DWG-IN-05-209</t>
  </si>
  <si>
    <t>AR0522-DWG-IN-05-210</t>
  </si>
  <si>
    <t>AR0522-DWG-EL-05-203</t>
  </si>
  <si>
    <t>AR0522-DWG-EL-05-204</t>
  </si>
  <si>
    <t>AR0522-DWG-PP-05-206</t>
  </si>
  <si>
    <t>AR0522-DWG-PP-05-207</t>
  </si>
  <si>
    <t>AR0522-DWG-PP-05-208</t>
  </si>
  <si>
    <t>Reference</t>
  </si>
  <si>
    <t>CodeDocument</t>
  </si>
  <si>
    <t>CodeDocumentlient</t>
  </si>
  <si>
    <t>TitreDocument</t>
  </si>
  <si>
    <t>NBHIngenieur</t>
  </si>
  <si>
    <t xml:space="preserve"> NBHProjeteur</t>
  </si>
  <si>
    <t>REV</t>
  </si>
  <si>
    <t>AR 05/2202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</si>
</sst>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b/>
      <sz val="16"/>
      <name val="Calibri"/>
      <family val="2"/>
      <scheme val="minor"/>
    </font>
    <font>
      <strike/>
      <sz val="11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auto="1"/>
      </patternFill>
    </fill>
    <fill>
      <gradientFill degree="270">
        <stop position="0">
          <color theme="6" tint="0.80001220740379042"/>
        </stop>
        <stop position="1">
          <color theme="6" tint="0.59999389629810485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AB7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>
      <alignment horizontal="center" vertical="center" wrapText="1"/>
    </xf>
    <xf numFmtId="0" fontId="6" fillId="0" borderId="0" applyNumberForma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4" borderId="1" xfId="0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0" fillId="4" borderId="1" xfId="0" applyFill="1" applyBorder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1" fillId="2" borderId="0" xfId="0" applyFont="1" applyFill="1"/>
    <xf numFmtId="0" fontId="1" fillId="0" borderId="0" xfId="0" quotePrefix="1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left" vertical="center" indent="1"/>
    </xf>
    <xf numFmtId="0" fontId="0" fillId="7" borderId="1" xfId="0" applyFill="1" applyBorder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49" fontId="3" fillId="8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19" fillId="10" borderId="0" xfId="0" applyNumberFormat="1" applyFont="1" applyFill="1" applyAlignment="1">
      <alignment horizontal="left" vertical="center"/>
    </xf>
    <xf numFmtId="49" fontId="19" fillId="6" borderId="0" xfId="0" applyNumberFormat="1" applyFont="1" applyFill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 wrapText="1"/>
    </xf>
    <xf numFmtId="49" fontId="8" fillId="3" borderId="0" xfId="0" applyNumberFormat="1" applyFont="1" applyFill="1" applyAlignment="1">
      <alignment horizontal="center" vertical="center" wrapText="1"/>
    </xf>
    <xf numFmtId="49" fontId="8" fillId="3" borderId="0" xfId="0" applyNumberFormat="1" applyFont="1" applyFill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4" fontId="13" fillId="0" borderId="2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4" fontId="13" fillId="2" borderId="2" xfId="0" applyNumberFormat="1" applyFont="1" applyFill="1" applyBorder="1" applyAlignment="1">
      <alignment horizontal="center" vertical="center" wrapText="1"/>
    </xf>
    <xf numFmtId="4" fontId="18" fillId="10" borderId="2" xfId="0" applyNumberFormat="1" applyFont="1" applyFill="1" applyBorder="1" applyAlignment="1">
      <alignment horizontal="center" vertical="center" wrapText="1"/>
    </xf>
    <xf numFmtId="49" fontId="17" fillId="0" borderId="2" xfId="0" applyNumberFormat="1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 wrapText="1"/>
    </xf>
    <xf numFmtId="49" fontId="13" fillId="0" borderId="2" xfId="0" applyNumberFormat="1" applyFont="1" applyBorder="1" applyAlignment="1">
      <alignment horizontal="left" vertical="center" wrapText="1"/>
    </xf>
    <xf numFmtId="49" fontId="13" fillId="0" borderId="2" xfId="0" applyNumberFormat="1" applyFont="1" applyFill="1" applyBorder="1" applyAlignment="1">
      <alignment horizontal="left" vertical="center" wrapText="1"/>
    </xf>
    <xf numFmtId="49" fontId="18" fillId="0" borderId="2" xfId="0" applyNumberFormat="1" applyFont="1" applyFill="1" applyBorder="1" applyAlignment="1">
      <alignment horizontal="left" vertical="center" wrapText="1"/>
    </xf>
    <xf numFmtId="49" fontId="18" fillId="2" borderId="2" xfId="0" applyNumberFormat="1" applyFont="1" applyFill="1" applyBorder="1" applyAlignment="1">
      <alignment horizontal="left" vertical="center" wrapText="1"/>
    </xf>
    <xf numFmtId="49" fontId="18" fillId="10" borderId="2" xfId="0" applyNumberFormat="1" applyFont="1" applyFill="1" applyBorder="1" applyAlignment="1">
      <alignment horizontal="left" vertical="center" wrapText="1"/>
    </xf>
    <xf numFmtId="0" fontId="6" fillId="2" borderId="0" xfId="2" quotePrefix="1" applyFill="1" applyAlignment="1">
      <alignment horizontal="left"/>
    </xf>
    <xf numFmtId="0" fontId="6" fillId="2" borderId="0" xfId="2" applyFill="1" applyAlignment="1">
      <alignment horizontal="left"/>
    </xf>
    <xf numFmtId="0" fontId="5" fillId="0" borderId="0" xfId="0" applyFont="1" applyAlignment="1">
      <alignment horizontal="center"/>
    </xf>
  </cellXfs>
  <cellStyles count="16">
    <cellStyle name="Euro 2 2" xfId="10"/>
    <cellStyle name="Euro_AP31-06 BDP_MGH 2" xfId="9"/>
    <cellStyle name="Lien hypertexte" xfId="2" builtinId="8"/>
    <cellStyle name="Milliers 2 2" xfId="11"/>
    <cellStyle name="Normal" xfId="0" builtinId="0"/>
    <cellStyle name="Normal 2" xfId="1"/>
    <cellStyle name="Normal 2 2 2 2 2" xfId="7"/>
    <cellStyle name="Normal 3" xfId="6"/>
    <cellStyle name="Normal 4 2 2" xfId="13"/>
    <cellStyle name="Normal 5" xfId="4"/>
    <cellStyle name="Normal 5 2 2" xfId="8"/>
    <cellStyle name="Normal 6" xfId="5"/>
    <cellStyle name="Pourcentage 2 2" xfId="12"/>
    <cellStyle name="Pourcentage 2 3" xfId="14"/>
    <cellStyle name="Pourcentage 2 4" xfId="15"/>
    <cellStyle name="標準 2" xfId="3"/>
  </cellStyles>
  <dxfs count="0"/>
  <tableStyles count="0" defaultTableStyle="TableStyleMedium2" defaultPivotStyle="PivotStyleLight16"/>
  <colors>
    <mruColors>
      <color rgb="FFD8EEC0"/>
      <color rgb="FFDAF6DA"/>
      <color rgb="FFE8FFB9"/>
      <color rgb="FF7AB700"/>
      <color rgb="FFB6FF25"/>
      <color rgb="FFF66F0A"/>
      <color rgb="FFFFFFFF"/>
      <color rgb="FFE4F8E4"/>
      <color rgb="FFA5E9A5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278</xdr:row>
      <xdr:rowOff>0</xdr:rowOff>
    </xdr:from>
    <xdr:to>
      <xdr:col>29</xdr:col>
      <xdr:colOff>334911</xdr:colOff>
      <xdr:row>288</xdr:row>
      <xdr:rowOff>181266</xdr:rowOff>
    </xdr:to>
    <xdr:pic>
      <xdr:nvPicPr>
        <xdr:cNvPr id="160" name="Picture 159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3273325"/>
          <a:ext cx="11002911" cy="208626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11</xdr:col>
      <xdr:colOff>132905</xdr:colOff>
      <xdr:row>233</xdr:row>
      <xdr:rowOff>190214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2367200"/>
          <a:ext cx="3561905" cy="2285714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13</xdr:col>
      <xdr:colOff>0</xdr:colOff>
      <xdr:row>207</xdr:row>
      <xdr:rowOff>0</xdr:rowOff>
    </xdr:from>
    <xdr:to>
      <xdr:col>22</xdr:col>
      <xdr:colOff>66238</xdr:colOff>
      <xdr:row>219</xdr:row>
      <xdr:rowOff>37809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39700200"/>
          <a:ext cx="3495238" cy="232380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11</xdr:col>
      <xdr:colOff>248163</xdr:colOff>
      <xdr:row>214</xdr:row>
      <xdr:rowOff>95449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39700200"/>
          <a:ext cx="3677163" cy="142894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8</xdr:col>
      <xdr:colOff>37809</xdr:colOff>
      <xdr:row>203</xdr:row>
      <xdr:rowOff>132929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35509200"/>
          <a:ext cx="2323809" cy="337142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14</xdr:col>
      <xdr:colOff>142286</xdr:colOff>
      <xdr:row>182</xdr:row>
      <xdr:rowOff>9286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3032700"/>
          <a:ext cx="4714286" cy="1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19</xdr:col>
      <xdr:colOff>313476</xdr:colOff>
      <xdr:row>170</xdr:row>
      <xdr:rowOff>47024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7889200"/>
          <a:ext cx="6790476" cy="4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132</xdr:row>
      <xdr:rowOff>1</xdr:rowOff>
    </xdr:from>
    <xdr:to>
      <xdr:col>33</xdr:col>
      <xdr:colOff>240430</xdr:colOff>
      <xdr:row>143</xdr:row>
      <xdr:rowOff>121167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2" y="25412701"/>
          <a:ext cx="12051428" cy="221666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12</xdr:col>
      <xdr:colOff>170952</xdr:colOff>
      <xdr:row>107</xdr:row>
      <xdr:rowOff>38100</xdr:rowOff>
    </xdr:to>
    <xdr:pic>
      <xdr:nvPicPr>
        <xdr:cNvPr id="32" name="Picture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6873"/>
        <a:stretch/>
      </xdr:blipFill>
      <xdr:spPr>
        <a:xfrm>
          <a:off x="762000" y="17935575"/>
          <a:ext cx="3980952" cy="2705100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23</xdr:col>
      <xdr:colOff>370428</xdr:colOff>
      <xdr:row>84</xdr:row>
      <xdr:rowOff>47333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13935075"/>
          <a:ext cx="8371428" cy="2333333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30</xdr:col>
      <xdr:colOff>379619</xdr:colOff>
      <xdr:row>49</xdr:row>
      <xdr:rowOff>56857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7219950"/>
          <a:ext cx="11047619" cy="2342857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oneCellAnchor>
    <xdr:from>
      <xdr:col>1</xdr:col>
      <xdr:colOff>609599</xdr:colOff>
      <xdr:row>15</xdr:row>
      <xdr:rowOff>0</xdr:rowOff>
    </xdr:from>
    <xdr:ext cx="3972480" cy="295316"/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1999" y="8201025"/>
          <a:ext cx="3972480" cy="29531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oneCellAnchor>
  <xdr:twoCellAnchor>
    <xdr:from>
      <xdr:col>2</xdr:col>
      <xdr:colOff>220981</xdr:colOff>
      <xdr:row>199</xdr:row>
      <xdr:rowOff>172218</xdr:rowOff>
    </xdr:from>
    <xdr:to>
      <xdr:col>5</xdr:col>
      <xdr:colOff>337981</xdr:colOff>
      <xdr:row>200</xdr:row>
      <xdr:rowOff>181807</xdr:rowOff>
    </xdr:to>
    <xdr:sp macro="" textlink="">
      <xdr:nvSpPr>
        <xdr:cNvPr id="70" name="Rounded Rectangle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/>
      </xdr:nvSpPr>
      <xdr:spPr>
        <a:xfrm>
          <a:off x="982981" y="38348418"/>
          <a:ext cx="1260000" cy="200089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0</xdr:colOff>
      <xdr:row>196</xdr:row>
      <xdr:rowOff>0</xdr:rowOff>
    </xdr:from>
    <xdr:ext cx="3019425" cy="1171575"/>
    <xdr:pic>
      <xdr:nvPicPr>
        <xdr:cNvPr id="71" name="Picture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443275"/>
          <a:ext cx="3019425" cy="1171575"/>
        </a:xfrm>
        <a:prstGeom prst="rect">
          <a:avLst/>
        </a:prstGeom>
        <a:ln w="6350">
          <a:solidFill>
            <a:schemeClr val="tx2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198</xdr:row>
      <xdr:rowOff>0</xdr:rowOff>
    </xdr:from>
    <xdr:ext cx="3019425" cy="1171575"/>
    <xdr:pic>
      <xdr:nvPicPr>
        <xdr:cNvPr id="72" name="Picture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1824275"/>
          <a:ext cx="3019425" cy="1171575"/>
        </a:xfrm>
        <a:prstGeom prst="rect">
          <a:avLst/>
        </a:prstGeom>
        <a:ln w="6350">
          <a:solidFill>
            <a:schemeClr val="tx2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200704</xdr:colOff>
      <xdr:row>207</xdr:row>
      <xdr:rowOff>72800</xdr:rowOff>
    </xdr:from>
    <xdr:to>
      <xdr:col>16</xdr:col>
      <xdr:colOff>316365</xdr:colOff>
      <xdr:row>208</xdr:row>
      <xdr:rowOff>47626</xdr:rowOff>
    </xdr:to>
    <xdr:sp macro="" textlink="">
      <xdr:nvSpPr>
        <xdr:cNvPr id="76" name="Rectangle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6296704" y="43802075"/>
          <a:ext cx="115661" cy="165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31092</xdr:colOff>
      <xdr:row>222</xdr:row>
      <xdr:rowOff>16111</xdr:rowOff>
    </xdr:from>
    <xdr:to>
      <xdr:col>3</xdr:col>
      <xdr:colOff>259692</xdr:colOff>
      <xdr:row>224</xdr:row>
      <xdr:rowOff>139937</xdr:rowOff>
    </xdr:to>
    <xdr:sp macro="" textlink="">
      <xdr:nvSpPr>
        <xdr:cNvPr id="80" name="Rectangle 79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/>
      </xdr:nvSpPr>
      <xdr:spPr>
        <a:xfrm>
          <a:off x="793092" y="42383311"/>
          <a:ext cx="609600" cy="5048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222271</xdr:colOff>
      <xdr:row>222</xdr:row>
      <xdr:rowOff>98436</xdr:rowOff>
    </xdr:from>
    <xdr:to>
      <xdr:col>7</xdr:col>
      <xdr:colOff>337932</xdr:colOff>
      <xdr:row>223</xdr:row>
      <xdr:rowOff>73262</xdr:rowOff>
    </xdr:to>
    <xdr:sp macro="" textlink="">
      <xdr:nvSpPr>
        <xdr:cNvPr id="81" name="Rectangle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/>
      </xdr:nvSpPr>
      <xdr:spPr>
        <a:xfrm>
          <a:off x="2889271" y="42465636"/>
          <a:ext cx="115661" cy="165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320241</xdr:colOff>
      <xdr:row>222</xdr:row>
      <xdr:rowOff>80066</xdr:rowOff>
    </xdr:from>
    <xdr:to>
      <xdr:col>11</xdr:col>
      <xdr:colOff>44241</xdr:colOff>
      <xdr:row>223</xdr:row>
      <xdr:rowOff>41286</xdr:rowOff>
    </xdr:to>
    <xdr:sp macro="" textlink="">
      <xdr:nvSpPr>
        <xdr:cNvPr id="82" name="Rectangle 81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/>
      </xdr:nvSpPr>
      <xdr:spPr>
        <a:xfrm>
          <a:off x="1463241" y="42447266"/>
          <a:ext cx="2772000" cy="151720"/>
        </a:xfrm>
        <a:prstGeom prst="rect">
          <a:avLst/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95718</xdr:colOff>
      <xdr:row>229</xdr:row>
      <xdr:rowOff>181743</xdr:rowOff>
    </xdr:from>
    <xdr:to>
      <xdr:col>11</xdr:col>
      <xdr:colOff>86718</xdr:colOff>
      <xdr:row>231</xdr:row>
      <xdr:rowOff>832</xdr:rowOff>
    </xdr:to>
    <xdr:sp macro="" textlink="">
      <xdr:nvSpPr>
        <xdr:cNvPr id="84" name="Rounded Rectangle 83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/>
      </xdr:nvSpPr>
      <xdr:spPr>
        <a:xfrm>
          <a:off x="857718" y="44072943"/>
          <a:ext cx="3420000" cy="200089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380999</xdr:colOff>
      <xdr:row>295</xdr:row>
      <xdr:rowOff>9525</xdr:rowOff>
    </xdr:from>
    <xdr:to>
      <xdr:col>6</xdr:col>
      <xdr:colOff>152999</xdr:colOff>
      <xdr:row>295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2999" y="108051600"/>
          <a:ext cx="1296000" cy="0"/>
        </a:xfrm>
        <a:prstGeom prst="line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</xdr:col>
      <xdr:colOff>380999</xdr:colOff>
      <xdr:row>304</xdr:row>
      <xdr:rowOff>9525</xdr:rowOff>
    </xdr:from>
    <xdr:to>
      <xdr:col>6</xdr:col>
      <xdr:colOff>296999</xdr:colOff>
      <xdr:row>304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142999" y="109766100"/>
          <a:ext cx="1440000" cy="0"/>
        </a:xfrm>
        <a:prstGeom prst="line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19</xdr:col>
      <xdr:colOff>128000</xdr:colOff>
      <xdr:row>134</xdr:row>
      <xdr:rowOff>75024</xdr:rowOff>
    </xdr:from>
    <xdr:to>
      <xdr:col>22</xdr:col>
      <xdr:colOff>317000</xdr:colOff>
      <xdr:row>135</xdr:row>
      <xdr:rowOff>139772</xdr:rowOff>
    </xdr:to>
    <xdr:sp macro="" textlink="">
      <xdr:nvSpPr>
        <xdr:cNvPr id="21" name="Rounded Rectangle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/>
      </xdr:nvSpPr>
      <xdr:spPr>
        <a:xfrm>
          <a:off x="7367000" y="25868724"/>
          <a:ext cx="1332000" cy="255248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47625</xdr:colOff>
      <xdr:row>278</xdr:row>
      <xdr:rowOff>0</xdr:rowOff>
    </xdr:from>
    <xdr:to>
      <xdr:col>12</xdr:col>
      <xdr:colOff>230625</xdr:colOff>
      <xdr:row>288</xdr:row>
      <xdr:rowOff>183000</xdr:rowOff>
    </xdr:to>
    <xdr:sp macro="" textlink="">
      <xdr:nvSpPr>
        <xdr:cNvPr id="138" name="Rounded Rectangle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/>
      </xdr:nvSpPr>
      <xdr:spPr>
        <a:xfrm>
          <a:off x="2714625" y="53273325"/>
          <a:ext cx="2088000" cy="2088000"/>
        </a:xfrm>
        <a:prstGeom prst="roundRect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323850</xdr:colOff>
      <xdr:row>278</xdr:row>
      <xdr:rowOff>0</xdr:rowOff>
    </xdr:from>
    <xdr:to>
      <xdr:col>29</xdr:col>
      <xdr:colOff>335850</xdr:colOff>
      <xdr:row>288</xdr:row>
      <xdr:rowOff>183000</xdr:rowOff>
    </xdr:to>
    <xdr:sp macro="" textlink="">
      <xdr:nvSpPr>
        <xdr:cNvPr id="146" name="Rounded Rectangle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/>
      </xdr:nvSpPr>
      <xdr:spPr>
        <a:xfrm>
          <a:off x="8324850" y="53273325"/>
          <a:ext cx="3060000" cy="2088000"/>
        </a:xfrm>
        <a:prstGeom prst="roundRect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7</xdr:col>
      <xdr:colOff>352740</xdr:colOff>
      <xdr:row>25</xdr:row>
      <xdr:rowOff>114449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000" y="3981450"/>
          <a:ext cx="2257740" cy="1066949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10</xdr:col>
      <xdr:colOff>124268</xdr:colOff>
      <xdr:row>30</xdr:row>
      <xdr:rowOff>66711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" y="5695950"/>
          <a:ext cx="3172268" cy="257211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30</xdr:col>
      <xdr:colOff>334911</xdr:colOff>
      <xdr:row>66</xdr:row>
      <xdr:rowOff>181266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0839450"/>
          <a:ext cx="11002911" cy="208626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15</xdr:col>
      <xdr:colOff>380333</xdr:colOff>
      <xdr:row>116</xdr:row>
      <xdr:rowOff>190333</xdr:rowOff>
    </xdr:to>
    <xdr:pic>
      <xdr:nvPicPr>
        <xdr:cNvPr id="37" name="Picture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2000" y="21174075"/>
          <a:ext cx="5333333" cy="1333333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>
    <xdr:from>
      <xdr:col>13</xdr:col>
      <xdr:colOff>9525</xdr:colOff>
      <xdr:row>207</xdr:row>
      <xdr:rowOff>19050</xdr:rowOff>
    </xdr:from>
    <xdr:to>
      <xdr:col>14</xdr:col>
      <xdr:colOff>238125</xdr:colOff>
      <xdr:row>209</xdr:row>
      <xdr:rowOff>142875</xdr:rowOff>
    </xdr:to>
    <xdr:sp macro="" textlink="">
      <xdr:nvSpPr>
        <xdr:cNvPr id="132" name="Rectangle 131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/>
      </xdr:nvSpPr>
      <xdr:spPr>
        <a:xfrm>
          <a:off x="4962525" y="39719250"/>
          <a:ext cx="609600" cy="504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298674</xdr:colOff>
      <xdr:row>207</xdr:row>
      <xdr:rowOff>83005</xdr:rowOff>
    </xdr:from>
    <xdr:to>
      <xdr:col>21</xdr:col>
      <xdr:colOff>331674</xdr:colOff>
      <xdr:row>208</xdr:row>
      <xdr:rowOff>44225</xdr:rowOff>
    </xdr:to>
    <xdr:sp macro="" textlink="">
      <xdr:nvSpPr>
        <xdr:cNvPr id="133" name="Rectangle 132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/>
      </xdr:nvSpPr>
      <xdr:spPr>
        <a:xfrm>
          <a:off x="5632674" y="39783205"/>
          <a:ext cx="2700000" cy="151720"/>
        </a:xfrm>
        <a:prstGeom prst="rect">
          <a:avLst/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22</xdr:col>
      <xdr:colOff>160952</xdr:colOff>
      <xdr:row>245</xdr:row>
      <xdr:rowOff>190286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" y="45415200"/>
          <a:ext cx="7780952" cy="1714286"/>
        </a:xfrm>
        <a:prstGeom prst="rect">
          <a:avLst/>
        </a:prstGeom>
        <a:ln w="6350">
          <a:solidFill>
            <a:schemeClr val="tx2"/>
          </a:solidFill>
        </a:ln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22</xdr:col>
      <xdr:colOff>103812</xdr:colOff>
      <xdr:row>272</xdr:row>
      <xdr:rowOff>142767</xdr:rowOff>
    </xdr:to>
    <xdr:grpSp>
      <xdr:nvGrpSpPr>
        <xdr:cNvPr id="39" name="Group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762000" y="47320200"/>
          <a:ext cx="7723812" cy="4905267"/>
          <a:chOff x="762000" y="47320200"/>
          <a:chExt cx="7723812" cy="4905267"/>
        </a:xfrm>
      </xdr:grpSpPr>
      <xdr:pic>
        <xdr:nvPicPr>
          <xdr:cNvPr id="19" name="Picture 18">
            <a:extLst>
              <a:ext uri="{FF2B5EF4-FFF2-40B4-BE49-F238E27FC236}">
                <a16:creationId xmlns=""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9"/>
          <a:srcRect b="26612"/>
          <a:stretch/>
        </xdr:blipFill>
        <xdr:spPr>
          <a:xfrm>
            <a:off x="762000" y="47320200"/>
            <a:ext cx="7723809" cy="4095750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781050" y="51358800"/>
            <a:ext cx="7704762" cy="866667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0</xdr:colOff>
      <xdr:row>290</xdr:row>
      <xdr:rowOff>47625</xdr:rowOff>
    </xdr:from>
    <xdr:to>
      <xdr:col>17</xdr:col>
      <xdr:colOff>342762</xdr:colOff>
      <xdr:row>292</xdr:row>
      <xdr:rowOff>85673</xdr:rowOff>
    </xdr:to>
    <xdr:pic>
      <xdr:nvPicPr>
        <xdr:cNvPr id="164" name="Picture 163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000" y="55606950"/>
          <a:ext cx="1104762" cy="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2:T305"/>
  <sheetViews>
    <sheetView showGridLines="0" topLeftCell="A79" zoomScaleNormal="100" workbookViewId="0">
      <selection activeCell="B5" sqref="B5:E5"/>
    </sheetView>
  </sheetViews>
  <sheetFormatPr baseColWidth="10" defaultColWidth="5.7109375" defaultRowHeight="15" x14ac:dyDescent="0.25"/>
  <cols>
    <col min="1" max="1" width="5.7109375" style="3"/>
    <col min="9" max="9" width="5.7109375" customWidth="1"/>
  </cols>
  <sheetData>
    <row r="2" spans="1:14" ht="23.25" x14ac:dyDescent="0.35">
      <c r="A2" s="4" t="s">
        <v>0</v>
      </c>
    </row>
    <row r="3" spans="1:14" s="11" customFormat="1" ht="12.75" x14ac:dyDescent="0.2">
      <c r="A3" s="12" t="s">
        <v>1</v>
      </c>
    </row>
    <row r="5" spans="1:14" ht="18.75" x14ac:dyDescent="0.3">
      <c r="A5"/>
      <c r="B5" s="47" t="s">
        <v>2</v>
      </c>
      <c r="C5" s="47"/>
      <c r="D5" s="47"/>
      <c r="E5" s="47"/>
    </row>
    <row r="7" spans="1:14" x14ac:dyDescent="0.25">
      <c r="A7"/>
      <c r="B7" s="9">
        <v>1</v>
      </c>
      <c r="C7" s="45" t="s">
        <v>3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1:14" x14ac:dyDescent="0.25">
      <c r="A8"/>
      <c r="B8" s="9">
        <v>2</v>
      </c>
      <c r="C8" s="46" t="s">
        <v>4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x14ac:dyDescent="0.25">
      <c r="A9"/>
      <c r="B9" s="9">
        <v>3</v>
      </c>
      <c r="C9" s="46" t="s">
        <v>5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</row>
    <row r="10" spans="1:14" x14ac:dyDescent="0.25">
      <c r="A10"/>
      <c r="B10" s="9">
        <v>4</v>
      </c>
      <c r="C10" s="46" t="s">
        <v>6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2" spans="1:14" ht="18.75" x14ac:dyDescent="0.3">
      <c r="A12" s="5" t="s">
        <v>7</v>
      </c>
    </row>
    <row r="14" spans="1:14" x14ac:dyDescent="0.25">
      <c r="B14" t="s">
        <v>8</v>
      </c>
    </row>
    <row r="19" spans="2:3" x14ac:dyDescent="0.25">
      <c r="B19" t="s">
        <v>9</v>
      </c>
    </row>
    <row r="28" spans="2:3" x14ac:dyDescent="0.25">
      <c r="B28" t="s">
        <v>10</v>
      </c>
    </row>
    <row r="32" spans="2:3" x14ac:dyDescent="0.25">
      <c r="C32" s="6" t="s">
        <v>11</v>
      </c>
    </row>
    <row r="33" spans="2:3" x14ac:dyDescent="0.25">
      <c r="C33" s="6" t="s">
        <v>12</v>
      </c>
    </row>
    <row r="34" spans="2:3" x14ac:dyDescent="0.25">
      <c r="C34" s="6" t="s">
        <v>13</v>
      </c>
    </row>
    <row r="35" spans="2:3" x14ac:dyDescent="0.25">
      <c r="C35" s="6"/>
    </row>
    <row r="36" spans="2:3" x14ac:dyDescent="0.25">
      <c r="B36" t="s">
        <v>14</v>
      </c>
    </row>
    <row r="51" spans="2:3" x14ac:dyDescent="0.25">
      <c r="C51" s="6" t="s">
        <v>15</v>
      </c>
    </row>
    <row r="52" spans="2:3" x14ac:dyDescent="0.25">
      <c r="C52" s="6" t="s">
        <v>16</v>
      </c>
    </row>
    <row r="53" spans="2:3" x14ac:dyDescent="0.25">
      <c r="C53" s="6"/>
    </row>
    <row r="54" spans="2:3" x14ac:dyDescent="0.25">
      <c r="B54" s="6" t="s">
        <v>17</v>
      </c>
      <c r="C54" s="6"/>
    </row>
    <row r="55" spans="2:3" x14ac:dyDescent="0.25">
      <c r="C55" s="6" t="s">
        <v>18</v>
      </c>
    </row>
    <row r="56" spans="2:3" x14ac:dyDescent="0.25">
      <c r="C56" s="6"/>
    </row>
    <row r="57" spans="2:3" x14ac:dyDescent="0.25">
      <c r="C57" s="6"/>
    </row>
    <row r="58" spans="2:3" x14ac:dyDescent="0.25">
      <c r="C58" s="6"/>
    </row>
    <row r="59" spans="2:3" x14ac:dyDescent="0.25">
      <c r="C59" s="6"/>
    </row>
    <row r="60" spans="2:3" x14ac:dyDescent="0.25">
      <c r="C60" s="6"/>
    </row>
    <row r="61" spans="2:3" x14ac:dyDescent="0.25">
      <c r="C61" s="6"/>
    </row>
    <row r="62" spans="2:3" x14ac:dyDescent="0.25">
      <c r="C62" s="6"/>
    </row>
    <row r="63" spans="2:3" x14ac:dyDescent="0.25">
      <c r="C63" s="6"/>
    </row>
    <row r="64" spans="2:3" x14ac:dyDescent="0.25">
      <c r="C64" s="6"/>
    </row>
    <row r="65" spans="1:3" x14ac:dyDescent="0.25">
      <c r="C65" s="6"/>
    </row>
    <row r="66" spans="1:3" x14ac:dyDescent="0.25">
      <c r="C66" s="6"/>
    </row>
    <row r="67" spans="1:3" x14ac:dyDescent="0.25">
      <c r="C67" s="6"/>
    </row>
    <row r="69" spans="1:3" ht="18.75" x14ac:dyDescent="0.3">
      <c r="A69" s="5" t="s">
        <v>19</v>
      </c>
    </row>
    <row r="71" spans="1:3" x14ac:dyDescent="0.25">
      <c r="B71" t="s">
        <v>20</v>
      </c>
    </row>
    <row r="86" spans="2:10" x14ac:dyDescent="0.25">
      <c r="B86" s="3"/>
      <c r="C86" t="s">
        <v>21</v>
      </c>
      <c r="J86" s="10"/>
    </row>
    <row r="87" spans="2:10" x14ac:dyDescent="0.25">
      <c r="B87" s="3"/>
      <c r="C87" t="s">
        <v>22</v>
      </c>
    </row>
    <row r="88" spans="2:10" x14ac:dyDescent="0.25">
      <c r="B88" s="3"/>
      <c r="D88" t="s">
        <v>23</v>
      </c>
    </row>
    <row r="89" spans="2:10" x14ac:dyDescent="0.25">
      <c r="B89" s="3"/>
      <c r="C89" t="s">
        <v>24</v>
      </c>
    </row>
    <row r="90" spans="2:10" x14ac:dyDescent="0.25">
      <c r="B90" s="3"/>
    </row>
    <row r="91" spans="2:10" x14ac:dyDescent="0.25">
      <c r="B91" t="s">
        <v>25</v>
      </c>
    </row>
    <row r="92" spans="2:10" x14ac:dyDescent="0.25">
      <c r="C92" t="s">
        <v>26</v>
      </c>
    </row>
    <row r="109" spans="3:3" x14ac:dyDescent="0.25">
      <c r="C109" t="s">
        <v>27</v>
      </c>
    </row>
    <row r="119" spans="1:8" x14ac:dyDescent="0.25">
      <c r="B119" t="s">
        <v>28</v>
      </c>
    </row>
    <row r="121" spans="1:8" x14ac:dyDescent="0.25">
      <c r="C121" s="10" t="s">
        <v>29</v>
      </c>
      <c r="D121" s="6"/>
      <c r="F121" t="s">
        <v>30</v>
      </c>
    </row>
    <row r="122" spans="1:8" x14ac:dyDescent="0.25">
      <c r="D122" s="6"/>
      <c r="F122" t="s">
        <v>31</v>
      </c>
    </row>
    <row r="123" spans="1:8" x14ac:dyDescent="0.25">
      <c r="D123" s="6"/>
    </row>
    <row r="124" spans="1:8" x14ac:dyDescent="0.25">
      <c r="C124" s="10" t="s">
        <v>32</v>
      </c>
      <c r="D124" s="6"/>
      <c r="H124" t="s">
        <v>33</v>
      </c>
    </row>
    <row r="125" spans="1:8" x14ac:dyDescent="0.25">
      <c r="D125" s="6"/>
    </row>
    <row r="126" spans="1:8" x14ac:dyDescent="0.25">
      <c r="C126" s="10" t="s">
        <v>34</v>
      </c>
      <c r="D126" s="6"/>
      <c r="F126" t="s">
        <v>35</v>
      </c>
    </row>
    <row r="127" spans="1:8" x14ac:dyDescent="0.25">
      <c r="D127" s="6"/>
    </row>
    <row r="128" spans="1:8" ht="18.75" x14ac:dyDescent="0.3">
      <c r="A128" s="5" t="s">
        <v>36</v>
      </c>
    </row>
    <row r="130" spans="2:3" x14ac:dyDescent="0.25">
      <c r="B130" t="s">
        <v>37</v>
      </c>
    </row>
    <row r="131" spans="2:3" x14ac:dyDescent="0.25">
      <c r="C131" t="s">
        <v>38</v>
      </c>
    </row>
    <row r="145" spans="3:3" x14ac:dyDescent="0.25">
      <c r="C145" t="s">
        <v>39</v>
      </c>
    </row>
    <row r="172" spans="3:3" x14ac:dyDescent="0.25">
      <c r="C172" t="s">
        <v>40</v>
      </c>
    </row>
    <row r="184" spans="2:3" x14ac:dyDescent="0.25">
      <c r="B184" t="s">
        <v>41</v>
      </c>
    </row>
    <row r="185" spans="2:3" x14ac:dyDescent="0.25">
      <c r="C185" t="s">
        <v>42</v>
      </c>
    </row>
    <row r="195" spans="3:20" x14ac:dyDescent="0.25">
      <c r="J195" t="s">
        <v>43</v>
      </c>
    </row>
    <row r="197" spans="3:20" x14ac:dyDescent="0.25">
      <c r="T197" t="s">
        <v>44</v>
      </c>
    </row>
    <row r="206" spans="3:20" x14ac:dyDescent="0.25">
      <c r="C206" t="s">
        <v>45</v>
      </c>
    </row>
    <row r="221" spans="3:3" x14ac:dyDescent="0.25">
      <c r="C221" t="s">
        <v>46</v>
      </c>
    </row>
    <row r="236" spans="3:3" x14ac:dyDescent="0.25">
      <c r="C236" t="s">
        <v>47</v>
      </c>
    </row>
    <row r="275" spans="1:2" ht="18.75" x14ac:dyDescent="0.3">
      <c r="A275" s="5" t="s">
        <v>48</v>
      </c>
    </row>
    <row r="277" spans="1:2" x14ac:dyDescent="0.25">
      <c r="B277" t="s">
        <v>49</v>
      </c>
    </row>
    <row r="291" spans="3:4" x14ac:dyDescent="0.25">
      <c r="C291" s="6" t="s">
        <v>50</v>
      </c>
    </row>
    <row r="292" spans="3:4" x14ac:dyDescent="0.25">
      <c r="D292" t="s">
        <v>51</v>
      </c>
    </row>
    <row r="295" spans="3:4" x14ac:dyDescent="0.25">
      <c r="C295" s="6" t="s">
        <v>52</v>
      </c>
    </row>
    <row r="296" spans="3:4" x14ac:dyDescent="0.25">
      <c r="D296" t="s">
        <v>53</v>
      </c>
    </row>
    <row r="298" spans="3:4" x14ac:dyDescent="0.25">
      <c r="C298" s="6" t="s">
        <v>54</v>
      </c>
    </row>
    <row r="299" spans="3:4" x14ac:dyDescent="0.25">
      <c r="D299" s="3" t="s">
        <v>55</v>
      </c>
    </row>
    <row r="301" spans="3:4" x14ac:dyDescent="0.25">
      <c r="C301" s="6" t="s">
        <v>56</v>
      </c>
    </row>
    <row r="302" spans="3:4" x14ac:dyDescent="0.25">
      <c r="D302" t="s">
        <v>57</v>
      </c>
    </row>
    <row r="304" spans="3:4" x14ac:dyDescent="0.25">
      <c r="C304" s="6" t="s">
        <v>58</v>
      </c>
    </row>
    <row r="305" spans="4:4" x14ac:dyDescent="0.25">
      <c r="D305" t="s">
        <v>59</v>
      </c>
    </row>
  </sheetData>
  <mergeCells count="5">
    <mergeCell ref="C7:N7"/>
    <mergeCell ref="C8:N8"/>
    <mergeCell ref="C9:N9"/>
    <mergeCell ref="C10:N10"/>
    <mergeCell ref="B5:E5"/>
  </mergeCells>
  <hyperlinks>
    <hyperlink ref="C7" location="'User Guide'!A12" display="Creating First External Users for a Given Project"/>
    <hyperlink ref="C8" location="'User Guide'!A112" display="Adding New Users to a Live Project with Existing External Users"/>
    <hyperlink ref="C9" location="'User Guide'!A194" display="Checks Performed on the to be Created User Account Details"/>
    <hyperlink ref="C10" location="'User Guide'!A218" display="Change Special Characters Button"/>
    <hyperlink ref="C10:N10" location="'Instructions for Use'!A275" display="Customizing the Dictionary"/>
    <hyperlink ref="C9:N9" location="'Instructions for Use'!A128" display="Importing the list in xVDB Web"/>
    <hyperlink ref="C8:N8" location="'Instructions for Use'!A69" display="Building the Forecast List of Documents"/>
    <hyperlink ref="C7:N7" location="'Instructions for Use'!A12" display="Workbook Presentation &amp; Use Context"/>
  </hyperlinks>
  <pageMargins left="0.23622047244094491" right="0.23622047244094491" top="0.55118110236220474" bottom="0.55118110236220474" header="0.31496062992125984" footer="0.31496062992125984"/>
  <pageSetup paperSize="9" scale="73" fitToHeight="0" orientation="landscape" r:id="rId1"/>
  <headerFooter>
    <oddHeader>&amp;C&amp;12&amp;F  -  &amp;A</oddHeader>
    <oddFooter>&amp;L&amp;Z&amp;F&amp;R&amp;P / &amp;N</oddFooter>
  </headerFooter>
  <rowBreaks count="8" manualBreakCount="8">
    <brk id="35" max="33" man="1"/>
    <brk id="68" max="33" man="1"/>
    <brk id="108" max="33" man="1"/>
    <brk id="127" max="33" man="1"/>
    <brk id="171" max="33" man="1"/>
    <brk id="184" max="33" man="1"/>
    <brk id="235" max="33" man="1"/>
    <brk id="274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  <pageSetUpPr fitToPage="1"/>
  </sheetPr>
  <dimension ref="A1:J68"/>
  <sheetViews>
    <sheetView showGridLines="0" tabSelected="1" view="pageBreakPreview" topLeftCell="A2" zoomScale="73" zoomScaleNormal="73" zoomScaleSheetLayoutView="73" workbookViewId="0">
      <pane xSplit="26625" topLeftCell="BF1"/>
      <selection activeCell="C19" sqref="C19"/>
      <selection pane="topRight" activeCell="T57" sqref="T57"/>
    </sheetView>
  </sheetViews>
  <sheetFormatPr baseColWidth="10" defaultColWidth="9.140625" defaultRowHeight="15" customHeight="1" x14ac:dyDescent="0.25"/>
  <cols>
    <col min="1" max="1" width="17.140625" style="16" customWidth="1"/>
    <col min="2" max="2" width="30.7109375" style="17" customWidth="1"/>
    <col min="3" max="3" width="30.140625" style="17" customWidth="1"/>
    <col min="4" max="4" width="120.7109375" style="20" customWidth="1"/>
    <col min="5" max="5" width="18.7109375" style="20" customWidth="1"/>
    <col min="6" max="6" width="20.28515625" style="16" customWidth="1"/>
    <col min="7" max="7" width="24.28515625" style="16" customWidth="1"/>
    <col min="8" max="8" width="20.85546875" style="16" customWidth="1"/>
    <col min="9" max="9" width="24" style="16" customWidth="1"/>
    <col min="10" max="16384" width="9.140625" style="16"/>
  </cols>
  <sheetData>
    <row r="1" spans="1:9" s="15" customFormat="1" ht="11.25" hidden="1" x14ac:dyDescent="0.25">
      <c r="A1" s="28"/>
      <c r="B1" s="29"/>
      <c r="C1" s="29" t="s">
        <v>60</v>
      </c>
      <c r="D1" s="30" t="s">
        <v>61</v>
      </c>
      <c r="E1" s="30"/>
      <c r="F1" s="28"/>
      <c r="G1" s="28"/>
      <c r="H1" s="28"/>
      <c r="I1" s="28"/>
    </row>
    <row r="2" spans="1:9" s="24" customFormat="1" ht="31.5" customHeight="1" x14ac:dyDescent="0.25">
      <c r="A2" s="38" t="s">
        <v>327</v>
      </c>
      <c r="B2" s="38" t="s">
        <v>328</v>
      </c>
      <c r="C2" s="38" t="s">
        <v>329</v>
      </c>
      <c r="D2" s="38" t="s">
        <v>330</v>
      </c>
      <c r="E2" s="38" t="s">
        <v>333</v>
      </c>
      <c r="F2" s="38" t="s">
        <v>331</v>
      </c>
      <c r="G2" s="38" t="s">
        <v>332</v>
      </c>
      <c r="H2" s="38" t="s">
        <v>331</v>
      </c>
      <c r="I2" s="38" t="s">
        <v>332</v>
      </c>
    </row>
    <row r="3" spans="1:9" s="21" customFormat="1" ht="36" customHeight="1" x14ac:dyDescent="0.25">
      <c r="A3" s="31" t="s">
        <v>334</v>
      </c>
      <c r="B3" s="39" t="s">
        <v>261</v>
      </c>
      <c r="C3" s="39" t="s">
        <v>162</v>
      </c>
      <c r="D3" s="39" t="s">
        <v>161</v>
      </c>
      <c r="E3" s="39"/>
      <c r="F3" s="32">
        <v>10</v>
      </c>
      <c r="G3" s="32">
        <v>50</v>
      </c>
      <c r="H3" s="32">
        <v>8</v>
      </c>
      <c r="I3" s="32">
        <v>0</v>
      </c>
    </row>
    <row r="4" spans="1:9" s="21" customFormat="1" ht="36" customHeight="1" x14ac:dyDescent="0.25">
      <c r="A4" s="31" t="s">
        <v>334</v>
      </c>
      <c r="B4" s="40" t="s">
        <v>263</v>
      </c>
      <c r="C4" s="39" t="s">
        <v>148</v>
      </c>
      <c r="D4" s="39" t="s">
        <v>147</v>
      </c>
      <c r="E4" s="39"/>
      <c r="F4" s="32">
        <v>2</v>
      </c>
      <c r="G4" s="32">
        <v>26</v>
      </c>
      <c r="H4" s="32">
        <v>1</v>
      </c>
      <c r="I4" s="32">
        <v>0</v>
      </c>
    </row>
    <row r="5" spans="1:9" s="23" customFormat="1" ht="36" customHeight="1" x14ac:dyDescent="0.25">
      <c r="A5" s="31" t="s">
        <v>334</v>
      </c>
      <c r="B5" s="40" t="s">
        <v>264</v>
      </c>
      <c r="C5" s="39" t="s">
        <v>167</v>
      </c>
      <c r="D5" s="39" t="s">
        <v>168</v>
      </c>
      <c r="E5" s="39"/>
      <c r="F5" s="32">
        <v>0</v>
      </c>
      <c r="G5" s="32">
        <v>4</v>
      </c>
      <c r="H5" s="32">
        <v>25</v>
      </c>
      <c r="I5" s="32">
        <v>5</v>
      </c>
    </row>
    <row r="6" spans="1:9" s="23" customFormat="1" ht="22.5" customHeight="1" x14ac:dyDescent="0.25">
      <c r="A6" s="31" t="s">
        <v>334</v>
      </c>
      <c r="B6" s="40" t="s">
        <v>265</v>
      </c>
      <c r="C6" s="39" t="s">
        <v>190</v>
      </c>
      <c r="D6" s="39" t="s">
        <v>189</v>
      </c>
      <c r="E6" s="39"/>
      <c r="F6" s="32">
        <v>1</v>
      </c>
      <c r="G6" s="32">
        <v>1</v>
      </c>
      <c r="H6" s="32">
        <v>14</v>
      </c>
      <c r="I6" s="32">
        <v>2</v>
      </c>
    </row>
    <row r="7" spans="1:9" ht="36" customHeight="1" x14ac:dyDescent="0.25">
      <c r="A7" s="31" t="s">
        <v>334</v>
      </c>
      <c r="B7" s="39" t="s">
        <v>269</v>
      </c>
      <c r="C7" s="39" t="s">
        <v>160</v>
      </c>
      <c r="D7" s="39" t="s">
        <v>159</v>
      </c>
      <c r="E7" s="39"/>
      <c r="F7" s="33">
        <v>1</v>
      </c>
      <c r="G7" s="33">
        <v>2</v>
      </c>
      <c r="H7" s="33">
        <v>10</v>
      </c>
      <c r="I7" s="33">
        <v>2</v>
      </c>
    </row>
    <row r="8" spans="1:9" s="23" customFormat="1" ht="36" customHeight="1" x14ac:dyDescent="0.25">
      <c r="A8" s="31" t="s">
        <v>334</v>
      </c>
      <c r="B8" s="39" t="s">
        <v>270</v>
      </c>
      <c r="C8" s="39" t="s">
        <v>156</v>
      </c>
      <c r="D8" s="39" t="s">
        <v>157</v>
      </c>
      <c r="E8" s="39"/>
      <c r="F8" s="33">
        <v>1</v>
      </c>
      <c r="G8" s="33">
        <f>3+2</f>
        <v>5</v>
      </c>
      <c r="H8" s="33">
        <f>16+8</f>
        <v>24</v>
      </c>
      <c r="I8" s="33">
        <f>4+2</f>
        <v>6</v>
      </c>
    </row>
    <row r="9" spans="1:9" s="23" customFormat="1" ht="36" customHeight="1" x14ac:dyDescent="0.25">
      <c r="A9" s="31" t="s">
        <v>334</v>
      </c>
      <c r="B9" s="39" t="s">
        <v>271</v>
      </c>
      <c r="C9" s="39" t="s">
        <v>158</v>
      </c>
      <c r="D9" s="39" t="s">
        <v>155</v>
      </c>
      <c r="E9" s="39"/>
      <c r="F9" s="33">
        <v>5</v>
      </c>
      <c r="G9" s="33">
        <v>5</v>
      </c>
      <c r="H9" s="33">
        <v>80</v>
      </c>
      <c r="I9" s="33">
        <v>40</v>
      </c>
    </row>
    <row r="10" spans="1:9" s="23" customFormat="1" ht="36" customHeight="1" x14ac:dyDescent="0.25">
      <c r="A10" s="31" t="s">
        <v>334</v>
      </c>
      <c r="B10" s="39" t="s">
        <v>272</v>
      </c>
      <c r="C10" s="39" t="s">
        <v>164</v>
      </c>
      <c r="D10" s="39" t="s">
        <v>163</v>
      </c>
      <c r="E10" s="39"/>
      <c r="F10" s="33">
        <v>0</v>
      </c>
      <c r="G10" s="33">
        <v>2</v>
      </c>
      <c r="H10" s="33">
        <v>6</v>
      </c>
      <c r="I10" s="33">
        <v>2</v>
      </c>
    </row>
    <row r="11" spans="1:9" s="23" customFormat="1" ht="36" customHeight="1" x14ac:dyDescent="0.25">
      <c r="A11" s="31" t="s">
        <v>334</v>
      </c>
      <c r="B11" s="39" t="s">
        <v>273</v>
      </c>
      <c r="C11" s="39" t="s">
        <v>166</v>
      </c>
      <c r="D11" s="39" t="s">
        <v>165</v>
      </c>
      <c r="E11" s="39"/>
      <c r="F11" s="33">
        <v>0</v>
      </c>
      <c r="G11" s="33">
        <v>2</v>
      </c>
      <c r="H11" s="33">
        <v>18</v>
      </c>
      <c r="I11" s="33">
        <v>6</v>
      </c>
    </row>
    <row r="12" spans="1:9" ht="15" customHeight="1" x14ac:dyDescent="0.25">
      <c r="A12" s="31" t="s">
        <v>334</v>
      </c>
      <c r="B12" s="39" t="s">
        <v>274</v>
      </c>
      <c r="C12" s="39" t="s">
        <v>146</v>
      </c>
      <c r="D12" s="39" t="s">
        <v>191</v>
      </c>
      <c r="E12" s="39"/>
      <c r="F12" s="33">
        <v>0</v>
      </c>
      <c r="G12" s="33">
        <v>1</v>
      </c>
      <c r="H12" s="33">
        <v>7</v>
      </c>
      <c r="I12" s="33">
        <v>1</v>
      </c>
    </row>
    <row r="13" spans="1:9" ht="15" customHeight="1" x14ac:dyDescent="0.25">
      <c r="A13" s="31" t="s">
        <v>334</v>
      </c>
      <c r="B13" s="39" t="s">
        <v>275</v>
      </c>
      <c r="C13" s="39" t="s">
        <v>146</v>
      </c>
      <c r="D13" s="39" t="s">
        <v>192</v>
      </c>
      <c r="E13" s="39"/>
      <c r="F13" s="33">
        <v>0</v>
      </c>
      <c r="G13" s="33">
        <v>1</v>
      </c>
      <c r="H13" s="33">
        <v>7</v>
      </c>
      <c r="I13" s="33">
        <v>1</v>
      </c>
    </row>
    <row r="14" spans="1:9" ht="15" customHeight="1" x14ac:dyDescent="0.25">
      <c r="A14" s="31" t="s">
        <v>334</v>
      </c>
      <c r="B14" s="39" t="s">
        <v>276</v>
      </c>
      <c r="C14" s="39" t="s">
        <v>146</v>
      </c>
      <c r="D14" s="39" t="s">
        <v>193</v>
      </c>
      <c r="E14" s="39"/>
      <c r="F14" s="33">
        <v>0</v>
      </c>
      <c r="G14" s="33">
        <v>1</v>
      </c>
      <c r="H14" s="33">
        <v>7</v>
      </c>
      <c r="I14" s="33">
        <v>1</v>
      </c>
    </row>
    <row r="15" spans="1:9" ht="15" customHeight="1" x14ac:dyDescent="0.25">
      <c r="A15" s="31" t="s">
        <v>334</v>
      </c>
      <c r="B15" s="39" t="s">
        <v>277</v>
      </c>
      <c r="C15" s="39" t="s">
        <v>146</v>
      </c>
      <c r="D15" s="39" t="s">
        <v>194</v>
      </c>
      <c r="E15" s="39"/>
      <c r="F15" s="33">
        <v>0</v>
      </c>
      <c r="G15" s="33">
        <v>1</v>
      </c>
      <c r="H15" s="33">
        <v>7</v>
      </c>
      <c r="I15" s="33">
        <v>1</v>
      </c>
    </row>
    <row r="16" spans="1:9" ht="36" customHeight="1" x14ac:dyDescent="0.25">
      <c r="A16" s="31" t="s">
        <v>334</v>
      </c>
      <c r="B16" s="41" t="s">
        <v>287</v>
      </c>
      <c r="C16" s="39" t="s">
        <v>149</v>
      </c>
      <c r="D16" s="39" t="s">
        <v>150</v>
      </c>
      <c r="E16" s="39"/>
      <c r="F16" s="33">
        <v>2</v>
      </c>
      <c r="G16" s="33">
        <v>10</v>
      </c>
      <c r="H16" s="33">
        <v>0</v>
      </c>
      <c r="I16" s="33">
        <v>0</v>
      </c>
    </row>
    <row r="17" spans="1:9" s="22" customFormat="1" ht="36" customHeight="1" x14ac:dyDescent="0.25">
      <c r="A17" s="31" t="s">
        <v>334</v>
      </c>
      <c r="B17" s="39" t="s">
        <v>288</v>
      </c>
      <c r="C17" s="39" t="s">
        <v>172</v>
      </c>
      <c r="D17" s="39" t="s">
        <v>171</v>
      </c>
      <c r="E17" s="39"/>
      <c r="F17" s="33">
        <v>0</v>
      </c>
      <c r="G17" s="33">
        <v>2</v>
      </c>
      <c r="H17" s="33">
        <v>8</v>
      </c>
      <c r="I17" s="33">
        <v>4</v>
      </c>
    </row>
    <row r="18" spans="1:9" s="22" customFormat="1" ht="36" customHeight="1" x14ac:dyDescent="0.25">
      <c r="A18" s="31" t="s">
        <v>334</v>
      </c>
      <c r="B18" s="39" t="s">
        <v>289</v>
      </c>
      <c r="C18" s="39" t="s">
        <v>174</v>
      </c>
      <c r="D18" s="39" t="s">
        <v>173</v>
      </c>
      <c r="E18" s="39"/>
      <c r="F18" s="33">
        <v>0</v>
      </c>
      <c r="G18" s="33">
        <v>2</v>
      </c>
      <c r="H18" s="33">
        <v>10</v>
      </c>
      <c r="I18" s="33">
        <v>4</v>
      </c>
    </row>
    <row r="19" spans="1:9" ht="36" customHeight="1" x14ac:dyDescent="0.25">
      <c r="A19" s="31" t="s">
        <v>334</v>
      </c>
      <c r="B19" s="39" t="s">
        <v>293</v>
      </c>
      <c r="C19" s="39" t="s">
        <v>207</v>
      </c>
      <c r="D19" s="39" t="s">
        <v>208</v>
      </c>
      <c r="E19" s="39"/>
      <c r="F19" s="33">
        <v>0</v>
      </c>
      <c r="G19" s="33">
        <v>0</v>
      </c>
      <c r="H19" s="33">
        <v>0</v>
      </c>
      <c r="I19" s="33">
        <v>0</v>
      </c>
    </row>
    <row r="20" spans="1:9" s="26" customFormat="1" ht="36" hidden="1" customHeight="1" x14ac:dyDescent="0.25">
      <c r="A20" s="31" t="s">
        <v>334</v>
      </c>
      <c r="B20" s="42" t="s">
        <v>294</v>
      </c>
      <c r="C20" s="42" t="s">
        <v>178</v>
      </c>
      <c r="D20" s="43" t="s">
        <v>177</v>
      </c>
      <c r="E20" s="43"/>
      <c r="F20" s="34">
        <v>2</v>
      </c>
      <c r="G20" s="34">
        <v>16</v>
      </c>
      <c r="H20" s="34">
        <v>4</v>
      </c>
      <c r="I20" s="34">
        <v>0</v>
      </c>
    </row>
    <row r="21" spans="1:9" s="22" customFormat="1" ht="36" customHeight="1" x14ac:dyDescent="0.25">
      <c r="A21" s="31" t="s">
        <v>334</v>
      </c>
      <c r="B21" s="39" t="s">
        <v>295</v>
      </c>
      <c r="C21" s="39" t="s">
        <v>170</v>
      </c>
      <c r="D21" s="39" t="s">
        <v>169</v>
      </c>
      <c r="E21" s="39"/>
      <c r="F21" s="33">
        <v>1</v>
      </c>
      <c r="G21" s="33">
        <v>2</v>
      </c>
      <c r="H21" s="33">
        <v>6</v>
      </c>
      <c r="I21" s="33">
        <v>1</v>
      </c>
    </row>
    <row r="22" spans="1:9" s="22" customFormat="1" ht="30" customHeight="1" x14ac:dyDescent="0.25">
      <c r="A22" s="31" t="s">
        <v>334</v>
      </c>
      <c r="B22" s="41" t="s">
        <v>296</v>
      </c>
      <c r="C22" s="41" t="s">
        <v>176</v>
      </c>
      <c r="D22" s="39" t="s">
        <v>175</v>
      </c>
      <c r="E22" s="39"/>
      <c r="F22" s="33">
        <v>0</v>
      </c>
      <c r="G22" s="33">
        <v>4</v>
      </c>
      <c r="H22" s="33">
        <v>22</v>
      </c>
      <c r="I22" s="33">
        <v>2</v>
      </c>
    </row>
    <row r="23" spans="1:9" s="24" customFormat="1" ht="36" customHeight="1" x14ac:dyDescent="0.25">
      <c r="A23" s="31" t="s">
        <v>334</v>
      </c>
      <c r="B23" s="41" t="s">
        <v>297</v>
      </c>
      <c r="C23" s="41" t="s">
        <v>180</v>
      </c>
      <c r="D23" s="41" t="s">
        <v>179</v>
      </c>
      <c r="E23" s="41"/>
      <c r="F23" s="33">
        <f>2+2</f>
        <v>4</v>
      </c>
      <c r="G23" s="33">
        <f>4+16</f>
        <v>20</v>
      </c>
      <c r="H23" s="33">
        <f>14+4</f>
        <v>18</v>
      </c>
      <c r="I23" s="35">
        <v>4</v>
      </c>
    </row>
    <row r="24" spans="1:9" s="22" customFormat="1" ht="36" customHeight="1" x14ac:dyDescent="0.25">
      <c r="A24" s="31" t="s">
        <v>334</v>
      </c>
      <c r="B24" s="39" t="s">
        <v>298</v>
      </c>
      <c r="C24" s="39" t="s">
        <v>182</v>
      </c>
      <c r="D24" s="39" t="s">
        <v>181</v>
      </c>
      <c r="E24" s="39"/>
      <c r="F24" s="33">
        <v>2</v>
      </c>
      <c r="G24" s="33">
        <v>4</v>
      </c>
      <c r="H24" s="33">
        <f>8.5*4</f>
        <v>34</v>
      </c>
      <c r="I24" s="33">
        <v>0</v>
      </c>
    </row>
    <row r="25" spans="1:9" s="22" customFormat="1" ht="36" customHeight="1" x14ac:dyDescent="0.25">
      <c r="A25" s="31" t="s">
        <v>334</v>
      </c>
      <c r="B25" s="39" t="s">
        <v>299</v>
      </c>
      <c r="C25" s="39" t="s">
        <v>184</v>
      </c>
      <c r="D25" s="39" t="s">
        <v>183</v>
      </c>
      <c r="E25" s="39"/>
      <c r="F25" s="33">
        <v>1</v>
      </c>
      <c r="G25" s="33">
        <v>1</v>
      </c>
      <c r="H25" s="33">
        <v>10</v>
      </c>
      <c r="I25" s="33">
        <v>2</v>
      </c>
    </row>
    <row r="26" spans="1:9" s="22" customFormat="1" ht="36" customHeight="1" x14ac:dyDescent="0.25">
      <c r="A26" s="31" t="s">
        <v>334</v>
      </c>
      <c r="B26" s="39" t="s">
        <v>300</v>
      </c>
      <c r="C26" s="39" t="s">
        <v>186</v>
      </c>
      <c r="D26" s="39" t="s">
        <v>185</v>
      </c>
      <c r="E26" s="39"/>
      <c r="F26" s="33">
        <v>4</v>
      </c>
      <c r="G26" s="33">
        <v>7</v>
      </c>
      <c r="H26" s="33">
        <v>82</v>
      </c>
      <c r="I26" s="33">
        <v>4</v>
      </c>
    </row>
    <row r="27" spans="1:9" s="22" customFormat="1" ht="15" customHeight="1" x14ac:dyDescent="0.25">
      <c r="A27" s="31" t="s">
        <v>334</v>
      </c>
      <c r="B27" s="39" t="s">
        <v>301</v>
      </c>
      <c r="C27" s="39" t="s">
        <v>188</v>
      </c>
      <c r="D27" s="39" t="s">
        <v>187</v>
      </c>
      <c r="E27" s="39"/>
      <c r="F27" s="33">
        <v>2</v>
      </c>
      <c r="G27" s="33">
        <v>4</v>
      </c>
      <c r="H27" s="33">
        <v>14</v>
      </c>
      <c r="I27" s="33">
        <v>2</v>
      </c>
    </row>
    <row r="28" spans="1:9" s="21" customFormat="1" ht="15" customHeight="1" x14ac:dyDescent="0.25">
      <c r="A28" s="31" t="s">
        <v>334</v>
      </c>
      <c r="B28" s="39" t="s">
        <v>324</v>
      </c>
      <c r="C28" s="39" t="s">
        <v>152</v>
      </c>
      <c r="D28" s="39" t="s">
        <v>151</v>
      </c>
      <c r="E28" s="39"/>
      <c r="F28" s="33">
        <v>1</v>
      </c>
      <c r="G28" s="33">
        <v>2</v>
      </c>
      <c r="H28" s="33">
        <v>10</v>
      </c>
      <c r="I28" s="33">
        <v>2</v>
      </c>
    </row>
    <row r="29" spans="1:9" s="23" customFormat="1" x14ac:dyDescent="0.25">
      <c r="A29" s="31" t="s">
        <v>334</v>
      </c>
      <c r="B29" s="39" t="s">
        <v>325</v>
      </c>
      <c r="C29" s="39" t="s">
        <v>154</v>
      </c>
      <c r="D29" s="39" t="s">
        <v>153</v>
      </c>
      <c r="E29" s="39"/>
      <c r="F29" s="33">
        <v>1</v>
      </c>
      <c r="G29" s="33">
        <v>2</v>
      </c>
      <c r="H29" s="33">
        <f>16+8</f>
        <v>24</v>
      </c>
      <c r="I29" s="33">
        <f>4+2</f>
        <v>6</v>
      </c>
    </row>
    <row r="30" spans="1:9" s="23" customFormat="1" x14ac:dyDescent="0.25">
      <c r="A30" s="31" t="s">
        <v>334</v>
      </c>
      <c r="B30" s="39" t="s">
        <v>326</v>
      </c>
      <c r="C30" s="39" t="s">
        <v>196</v>
      </c>
      <c r="D30" s="39" t="s">
        <v>195</v>
      </c>
      <c r="E30" s="39"/>
      <c r="F30" s="33">
        <v>1</v>
      </c>
      <c r="G30" s="33">
        <v>2</v>
      </c>
      <c r="H30" s="33">
        <v>24</v>
      </c>
      <c r="I30" s="33">
        <v>6</v>
      </c>
    </row>
    <row r="31" spans="1:9" s="22" customFormat="1" x14ac:dyDescent="0.25">
      <c r="A31" s="31" t="s">
        <v>334</v>
      </c>
      <c r="B31" s="39" t="s">
        <v>319</v>
      </c>
      <c r="C31" s="39" t="s">
        <v>198</v>
      </c>
      <c r="D31" s="39" t="s">
        <v>197</v>
      </c>
      <c r="E31" s="39"/>
      <c r="F31" s="36">
        <v>1</v>
      </c>
      <c r="G31" s="36">
        <v>2</v>
      </c>
      <c r="H31" s="36">
        <v>6</v>
      </c>
      <c r="I31" s="36">
        <v>1</v>
      </c>
    </row>
    <row r="32" spans="1:9" s="25" customFormat="1" ht="15" hidden="1" customHeight="1" x14ac:dyDescent="0.25">
      <c r="A32" s="31" t="s">
        <v>334</v>
      </c>
      <c r="B32" s="44" t="s">
        <v>320</v>
      </c>
      <c r="C32" s="44" t="s">
        <v>200</v>
      </c>
      <c r="D32" s="44" t="s">
        <v>199</v>
      </c>
      <c r="E32" s="44"/>
      <c r="F32" s="37">
        <v>0</v>
      </c>
      <c r="G32" s="37">
        <v>0</v>
      </c>
      <c r="H32" s="37">
        <v>0</v>
      </c>
      <c r="I32" s="37">
        <v>0</v>
      </c>
    </row>
    <row r="33" spans="1:10" s="22" customFormat="1" ht="15" customHeight="1" x14ac:dyDescent="0.25">
      <c r="A33" s="31" t="s">
        <v>334</v>
      </c>
      <c r="B33" s="39" t="s">
        <v>321</v>
      </c>
      <c r="C33" s="39" t="s">
        <v>202</v>
      </c>
      <c r="D33" s="39" t="s">
        <v>201</v>
      </c>
      <c r="E33" s="39"/>
      <c r="F33" s="36">
        <v>0</v>
      </c>
      <c r="G33" s="36">
        <v>4</v>
      </c>
      <c r="H33" s="36">
        <v>22</v>
      </c>
      <c r="I33" s="36">
        <v>2</v>
      </c>
    </row>
    <row r="34" spans="1:10" s="22" customFormat="1" ht="15" customHeight="1" x14ac:dyDescent="0.25">
      <c r="A34" s="31" t="s">
        <v>334</v>
      </c>
      <c r="B34" s="39" t="s">
        <v>322</v>
      </c>
      <c r="C34" s="39" t="s">
        <v>204</v>
      </c>
      <c r="D34" s="39" t="s">
        <v>203</v>
      </c>
      <c r="E34" s="39"/>
      <c r="F34" s="36">
        <v>0</v>
      </c>
      <c r="G34" s="36">
        <v>0</v>
      </c>
      <c r="H34" s="36">
        <v>0</v>
      </c>
      <c r="I34" s="36">
        <v>0</v>
      </c>
    </row>
    <row r="35" spans="1:10" s="22" customFormat="1" ht="15" customHeight="1" x14ac:dyDescent="0.25">
      <c r="A35" s="31" t="s">
        <v>334</v>
      </c>
      <c r="B35" s="39" t="s">
        <v>323</v>
      </c>
      <c r="C35" s="39" t="s">
        <v>206</v>
      </c>
      <c r="D35" s="39" t="s">
        <v>205</v>
      </c>
      <c r="E35" s="39"/>
      <c r="F35" s="32">
        <v>0</v>
      </c>
      <c r="G35" s="32">
        <v>2</v>
      </c>
      <c r="H35" s="32">
        <v>8</v>
      </c>
      <c r="I35" s="32">
        <v>4</v>
      </c>
    </row>
    <row r="36" spans="1:10" ht="15" customHeight="1" x14ac:dyDescent="0.25">
      <c r="A36" s="31" t="s">
        <v>334</v>
      </c>
      <c r="B36" s="39" t="s">
        <v>262</v>
      </c>
      <c r="C36" s="39" t="s">
        <v>162</v>
      </c>
      <c r="D36" s="39" t="s">
        <v>209</v>
      </c>
      <c r="E36" s="39"/>
      <c r="F36" s="32">
        <v>10</v>
      </c>
      <c r="G36" s="32">
        <v>50</v>
      </c>
      <c r="H36" s="32">
        <v>8</v>
      </c>
      <c r="I36" s="32">
        <v>0</v>
      </c>
      <c r="J36" s="21"/>
    </row>
    <row r="37" spans="1:10" ht="15" customHeight="1" x14ac:dyDescent="0.25">
      <c r="A37" s="31" t="s">
        <v>334</v>
      </c>
      <c r="B37" s="40" t="s">
        <v>266</v>
      </c>
      <c r="C37" s="39" t="s">
        <v>148</v>
      </c>
      <c r="D37" s="39" t="s">
        <v>210</v>
      </c>
      <c r="E37" s="39"/>
      <c r="F37" s="32">
        <v>2</v>
      </c>
      <c r="G37" s="32">
        <v>26</v>
      </c>
      <c r="H37" s="32">
        <v>1</v>
      </c>
      <c r="I37" s="32">
        <v>0</v>
      </c>
      <c r="J37" s="21"/>
    </row>
    <row r="38" spans="1:10" ht="15" customHeight="1" x14ac:dyDescent="0.25">
      <c r="A38" s="31" t="s">
        <v>334</v>
      </c>
      <c r="B38" s="40" t="s">
        <v>267</v>
      </c>
      <c r="C38" s="39" t="s">
        <v>221</v>
      </c>
      <c r="D38" s="39" t="s">
        <v>222</v>
      </c>
      <c r="E38" s="39"/>
      <c r="F38" s="32">
        <v>0</v>
      </c>
      <c r="G38" s="32">
        <v>4</v>
      </c>
      <c r="H38" s="32">
        <v>25</v>
      </c>
      <c r="I38" s="32">
        <v>5</v>
      </c>
      <c r="J38" s="23"/>
    </row>
    <row r="39" spans="1:10" ht="15" customHeight="1" x14ac:dyDescent="0.25">
      <c r="A39" s="31" t="s">
        <v>334</v>
      </c>
      <c r="B39" s="40" t="s">
        <v>268</v>
      </c>
      <c r="C39" s="39" t="s">
        <v>224</v>
      </c>
      <c r="D39" s="39" t="s">
        <v>223</v>
      </c>
      <c r="E39" s="39"/>
      <c r="F39" s="32">
        <v>1</v>
      </c>
      <c r="G39" s="32">
        <v>1</v>
      </c>
      <c r="H39" s="32">
        <v>14</v>
      </c>
      <c r="I39" s="32">
        <v>2</v>
      </c>
      <c r="J39" s="23"/>
    </row>
    <row r="40" spans="1:10" ht="15" customHeight="1" x14ac:dyDescent="0.25">
      <c r="A40" s="31" t="s">
        <v>334</v>
      </c>
      <c r="B40" s="39" t="s">
        <v>278</v>
      </c>
      <c r="C40" s="39" t="s">
        <v>212</v>
      </c>
      <c r="D40" s="39" t="s">
        <v>211</v>
      </c>
      <c r="E40" s="39"/>
      <c r="F40" s="33">
        <v>1</v>
      </c>
      <c r="G40" s="33">
        <v>2</v>
      </c>
      <c r="H40" s="33">
        <v>10</v>
      </c>
      <c r="I40" s="33">
        <v>2</v>
      </c>
    </row>
    <row r="41" spans="1:10" ht="15" customHeight="1" x14ac:dyDescent="0.25">
      <c r="A41" s="31" t="s">
        <v>334</v>
      </c>
      <c r="B41" s="39" t="s">
        <v>279</v>
      </c>
      <c r="C41" s="39" t="s">
        <v>213</v>
      </c>
      <c r="D41" s="39" t="s">
        <v>214</v>
      </c>
      <c r="E41" s="39"/>
      <c r="F41" s="33">
        <v>1</v>
      </c>
      <c r="G41" s="33">
        <f>3+2</f>
        <v>5</v>
      </c>
      <c r="H41" s="33">
        <f>16+8</f>
        <v>24</v>
      </c>
      <c r="I41" s="33">
        <f>4+2</f>
        <v>6</v>
      </c>
      <c r="J41" s="23"/>
    </row>
    <row r="42" spans="1:10" ht="15" customHeight="1" x14ac:dyDescent="0.25">
      <c r="A42" s="31" t="s">
        <v>334</v>
      </c>
      <c r="B42" s="39" t="s">
        <v>280</v>
      </c>
      <c r="C42" s="39" t="s">
        <v>215</v>
      </c>
      <c r="D42" s="39" t="s">
        <v>216</v>
      </c>
      <c r="E42" s="39"/>
      <c r="F42" s="33">
        <v>5</v>
      </c>
      <c r="G42" s="33">
        <v>5</v>
      </c>
      <c r="H42" s="33">
        <v>80</v>
      </c>
      <c r="I42" s="33">
        <v>40</v>
      </c>
      <c r="J42" s="23"/>
    </row>
    <row r="43" spans="1:10" ht="15" customHeight="1" x14ac:dyDescent="0.25">
      <c r="A43" s="31" t="s">
        <v>334</v>
      </c>
      <c r="B43" s="39" t="s">
        <v>281</v>
      </c>
      <c r="C43" s="39" t="s">
        <v>218</v>
      </c>
      <c r="D43" s="39" t="s">
        <v>217</v>
      </c>
      <c r="E43" s="39"/>
      <c r="F43" s="33">
        <v>0</v>
      </c>
      <c r="G43" s="33">
        <v>2</v>
      </c>
      <c r="H43" s="33">
        <v>6</v>
      </c>
      <c r="I43" s="33">
        <v>2</v>
      </c>
      <c r="J43" s="23"/>
    </row>
    <row r="44" spans="1:10" ht="15" customHeight="1" x14ac:dyDescent="0.25">
      <c r="A44" s="31" t="s">
        <v>334</v>
      </c>
      <c r="B44" s="39" t="s">
        <v>282</v>
      </c>
      <c r="C44" s="39" t="s">
        <v>220</v>
      </c>
      <c r="D44" s="39" t="s">
        <v>219</v>
      </c>
      <c r="E44" s="39"/>
      <c r="F44" s="33">
        <v>0</v>
      </c>
      <c r="G44" s="33">
        <v>2</v>
      </c>
      <c r="H44" s="33">
        <v>18</v>
      </c>
      <c r="I44" s="33">
        <v>6</v>
      </c>
      <c r="J44" s="23"/>
    </row>
    <row r="45" spans="1:10" ht="15" customHeight="1" x14ac:dyDescent="0.25">
      <c r="A45" s="31" t="s">
        <v>334</v>
      </c>
      <c r="B45" s="39" t="s">
        <v>283</v>
      </c>
      <c r="C45" s="39" t="s">
        <v>146</v>
      </c>
      <c r="D45" s="39" t="s">
        <v>225</v>
      </c>
      <c r="E45" s="39"/>
      <c r="F45" s="33">
        <v>0</v>
      </c>
      <c r="G45" s="33">
        <v>1</v>
      </c>
      <c r="H45" s="33">
        <v>7</v>
      </c>
      <c r="I45" s="33">
        <v>1</v>
      </c>
    </row>
    <row r="46" spans="1:10" ht="15" customHeight="1" x14ac:dyDescent="0.25">
      <c r="A46" s="31" t="s">
        <v>334</v>
      </c>
      <c r="B46" s="39" t="s">
        <v>284</v>
      </c>
      <c r="C46" s="39" t="s">
        <v>146</v>
      </c>
      <c r="D46" s="39" t="s">
        <v>226</v>
      </c>
      <c r="E46" s="39"/>
      <c r="F46" s="33"/>
      <c r="G46" s="33"/>
      <c r="H46" s="33"/>
      <c r="I46" s="33"/>
    </row>
    <row r="47" spans="1:10" ht="15" customHeight="1" x14ac:dyDescent="0.25">
      <c r="A47" s="31" t="s">
        <v>334</v>
      </c>
      <c r="B47" s="39" t="s">
        <v>285</v>
      </c>
      <c r="C47" s="39" t="s">
        <v>146</v>
      </c>
      <c r="D47" s="39" t="s">
        <v>227</v>
      </c>
      <c r="E47" s="39"/>
      <c r="F47" s="33">
        <v>0</v>
      </c>
      <c r="G47" s="33">
        <v>1</v>
      </c>
      <c r="H47" s="33">
        <v>7</v>
      </c>
      <c r="I47" s="33">
        <v>1</v>
      </c>
    </row>
    <row r="48" spans="1:10" ht="15" customHeight="1" x14ac:dyDescent="0.25">
      <c r="A48" s="31" t="s">
        <v>334</v>
      </c>
      <c r="B48" s="39" t="s">
        <v>286</v>
      </c>
      <c r="C48" s="39" t="s">
        <v>146</v>
      </c>
      <c r="D48" s="39" t="s">
        <v>228</v>
      </c>
      <c r="E48" s="39"/>
      <c r="F48" s="33">
        <v>0</v>
      </c>
      <c r="G48" s="33">
        <v>1</v>
      </c>
      <c r="H48" s="33">
        <v>7</v>
      </c>
      <c r="I48" s="33">
        <v>1</v>
      </c>
    </row>
    <row r="49" spans="1:10" ht="15" customHeight="1" x14ac:dyDescent="0.25">
      <c r="A49" s="31" t="s">
        <v>334</v>
      </c>
      <c r="B49" s="39" t="s">
        <v>290</v>
      </c>
      <c r="C49" s="41" t="s">
        <v>237</v>
      </c>
      <c r="D49" s="39" t="s">
        <v>236</v>
      </c>
      <c r="E49" s="39"/>
      <c r="F49" s="33">
        <v>2</v>
      </c>
      <c r="G49" s="33">
        <v>10</v>
      </c>
      <c r="H49" s="33">
        <v>0</v>
      </c>
      <c r="I49" s="33">
        <v>0</v>
      </c>
    </row>
    <row r="50" spans="1:10" ht="15" customHeight="1" x14ac:dyDescent="0.25">
      <c r="A50" s="31" t="s">
        <v>334</v>
      </c>
      <c r="B50" s="39" t="s">
        <v>291</v>
      </c>
      <c r="C50" s="39" t="s">
        <v>241</v>
      </c>
      <c r="D50" s="39" t="s">
        <v>240</v>
      </c>
      <c r="E50" s="39"/>
      <c r="F50" s="33">
        <v>0</v>
      </c>
      <c r="G50" s="33">
        <v>2</v>
      </c>
      <c r="H50" s="33">
        <v>8</v>
      </c>
      <c r="I50" s="33">
        <v>4</v>
      </c>
      <c r="J50" s="22"/>
    </row>
    <row r="51" spans="1:10" ht="15" customHeight="1" x14ac:dyDescent="0.25">
      <c r="A51" s="31" t="s">
        <v>334</v>
      </c>
      <c r="B51" s="39" t="s">
        <v>292</v>
      </c>
      <c r="C51" s="39" t="s">
        <v>242</v>
      </c>
      <c r="D51" s="39" t="s">
        <v>243</v>
      </c>
      <c r="E51" s="39"/>
      <c r="F51" s="33">
        <v>0</v>
      </c>
      <c r="G51" s="33">
        <v>2</v>
      </c>
      <c r="H51" s="33">
        <v>10</v>
      </c>
      <c r="I51" s="33">
        <v>4</v>
      </c>
      <c r="J51" s="22"/>
    </row>
    <row r="52" spans="1:10" ht="15" customHeight="1" x14ac:dyDescent="0.25">
      <c r="A52" s="31" t="s">
        <v>334</v>
      </c>
      <c r="B52" s="39" t="s">
        <v>302</v>
      </c>
      <c r="C52" s="39" t="s">
        <v>207</v>
      </c>
      <c r="D52" s="39" t="s">
        <v>208</v>
      </c>
      <c r="E52" s="39"/>
      <c r="F52" s="33">
        <v>0</v>
      </c>
      <c r="G52" s="33">
        <v>0</v>
      </c>
      <c r="H52" s="33">
        <v>0</v>
      </c>
      <c r="I52" s="33">
        <v>0</v>
      </c>
    </row>
    <row r="53" spans="1:10" s="27" customFormat="1" ht="15" hidden="1" customHeight="1" x14ac:dyDescent="0.25">
      <c r="A53" s="31" t="s">
        <v>334</v>
      </c>
      <c r="B53" s="42" t="s">
        <v>303</v>
      </c>
      <c r="C53" s="42" t="s">
        <v>250</v>
      </c>
      <c r="D53" s="43" t="s">
        <v>251</v>
      </c>
      <c r="E53" s="43"/>
      <c r="F53" s="34">
        <v>2</v>
      </c>
      <c r="G53" s="34">
        <v>16</v>
      </c>
      <c r="H53" s="34">
        <v>4</v>
      </c>
      <c r="I53" s="34">
        <v>0</v>
      </c>
      <c r="J53" s="26"/>
    </row>
    <row r="54" spans="1:10" ht="15" customHeight="1" x14ac:dyDescent="0.25">
      <c r="A54" s="31" t="s">
        <v>334</v>
      </c>
      <c r="B54" s="41" t="s">
        <v>304</v>
      </c>
      <c r="C54" s="39" t="s">
        <v>239</v>
      </c>
      <c r="D54" s="39" t="s">
        <v>238</v>
      </c>
      <c r="E54" s="39"/>
      <c r="F54" s="33">
        <v>1</v>
      </c>
      <c r="G54" s="33">
        <v>2</v>
      </c>
      <c r="H54" s="33">
        <v>6</v>
      </c>
      <c r="I54" s="33">
        <v>1</v>
      </c>
      <c r="J54" s="22"/>
    </row>
    <row r="55" spans="1:10" ht="15" customHeight="1" x14ac:dyDescent="0.25">
      <c r="A55" s="31" t="s">
        <v>334</v>
      </c>
      <c r="B55" s="41" t="s">
        <v>305</v>
      </c>
      <c r="C55" s="41" t="s">
        <v>246</v>
      </c>
      <c r="D55" s="39" t="s">
        <v>247</v>
      </c>
      <c r="E55" s="39"/>
      <c r="F55" s="33">
        <v>0</v>
      </c>
      <c r="G55" s="33">
        <v>4</v>
      </c>
      <c r="H55" s="33">
        <v>22</v>
      </c>
      <c r="I55" s="33">
        <v>2</v>
      </c>
      <c r="J55" s="22"/>
    </row>
    <row r="56" spans="1:10" s="24" customFormat="1" ht="15" customHeight="1" x14ac:dyDescent="0.25">
      <c r="A56" s="31" t="s">
        <v>334</v>
      </c>
      <c r="B56" s="41" t="s">
        <v>306</v>
      </c>
      <c r="C56" s="41" t="s">
        <v>255</v>
      </c>
      <c r="D56" s="41" t="s">
        <v>254</v>
      </c>
      <c r="E56" s="41"/>
      <c r="F56" s="33">
        <f>2+2</f>
        <v>4</v>
      </c>
      <c r="G56" s="33">
        <f>4+16</f>
        <v>20</v>
      </c>
      <c r="H56" s="33">
        <f>14+4</f>
        <v>18</v>
      </c>
      <c r="I56" s="35">
        <v>4</v>
      </c>
    </row>
    <row r="57" spans="1:10" ht="15" customHeight="1" x14ac:dyDescent="0.25">
      <c r="A57" s="31" t="s">
        <v>334</v>
      </c>
      <c r="B57" s="41" t="s">
        <v>307</v>
      </c>
      <c r="C57" s="39" t="s">
        <v>182</v>
      </c>
      <c r="D57" s="39" t="s">
        <v>181</v>
      </c>
      <c r="E57" s="39"/>
      <c r="F57" s="33">
        <v>2</v>
      </c>
      <c r="G57" s="33">
        <v>4</v>
      </c>
      <c r="H57" s="33">
        <f>8.5*4</f>
        <v>34</v>
      </c>
      <c r="I57" s="33">
        <v>0</v>
      </c>
      <c r="J57" s="22"/>
    </row>
    <row r="58" spans="1:10" ht="15" customHeight="1" x14ac:dyDescent="0.25">
      <c r="A58" s="31" t="s">
        <v>334</v>
      </c>
      <c r="B58" s="41" t="s">
        <v>308</v>
      </c>
      <c r="C58" s="39" t="s">
        <v>258</v>
      </c>
      <c r="D58" s="39" t="s">
        <v>256</v>
      </c>
      <c r="E58" s="39"/>
      <c r="F58" s="33">
        <v>1</v>
      </c>
      <c r="G58" s="33">
        <v>1</v>
      </c>
      <c r="H58" s="33">
        <v>10</v>
      </c>
      <c r="I58" s="33">
        <v>2</v>
      </c>
      <c r="J58" s="22"/>
    </row>
    <row r="59" spans="1:10" ht="15" customHeight="1" x14ac:dyDescent="0.25">
      <c r="A59" s="31" t="s">
        <v>334</v>
      </c>
      <c r="B59" s="41" t="s">
        <v>309</v>
      </c>
      <c r="C59" s="39" t="s">
        <v>186</v>
      </c>
      <c r="D59" s="39" t="s">
        <v>235</v>
      </c>
      <c r="E59" s="39"/>
      <c r="F59" s="33">
        <v>4</v>
      </c>
      <c r="G59" s="33">
        <v>7</v>
      </c>
      <c r="H59" s="33">
        <v>82</v>
      </c>
      <c r="I59" s="33">
        <v>4</v>
      </c>
      <c r="J59" s="22"/>
    </row>
    <row r="60" spans="1:10" ht="15" customHeight="1" x14ac:dyDescent="0.25">
      <c r="A60" s="31" t="s">
        <v>334</v>
      </c>
      <c r="B60" s="41" t="s">
        <v>310</v>
      </c>
      <c r="C60" s="39" t="s">
        <v>259</v>
      </c>
      <c r="D60" s="39" t="s">
        <v>257</v>
      </c>
      <c r="E60" s="39"/>
      <c r="F60" s="33">
        <v>2</v>
      </c>
      <c r="G60" s="33">
        <v>4</v>
      </c>
      <c r="H60" s="33">
        <v>14</v>
      </c>
      <c r="I60" s="33">
        <v>2</v>
      </c>
      <c r="J60" s="22"/>
    </row>
    <row r="61" spans="1:10" ht="15" customHeight="1" x14ac:dyDescent="0.25">
      <c r="A61" s="31" t="s">
        <v>334</v>
      </c>
      <c r="B61" s="41" t="s">
        <v>316</v>
      </c>
      <c r="C61" s="39" t="s">
        <v>229</v>
      </c>
      <c r="D61" s="39" t="s">
        <v>234</v>
      </c>
      <c r="E61" s="39"/>
      <c r="F61" s="33">
        <v>1</v>
      </c>
      <c r="G61" s="33">
        <v>2</v>
      </c>
      <c r="H61" s="33">
        <v>10</v>
      </c>
      <c r="I61" s="33">
        <v>2</v>
      </c>
      <c r="J61" s="21"/>
    </row>
    <row r="62" spans="1:10" ht="15" customHeight="1" x14ac:dyDescent="0.25">
      <c r="A62" s="31" t="s">
        <v>334</v>
      </c>
      <c r="B62" s="41" t="s">
        <v>317</v>
      </c>
      <c r="C62" s="39" t="s">
        <v>231</v>
      </c>
      <c r="D62" s="39" t="s">
        <v>230</v>
      </c>
      <c r="E62" s="39"/>
      <c r="F62" s="33">
        <v>1</v>
      </c>
      <c r="G62" s="33">
        <v>2</v>
      </c>
      <c r="H62" s="33">
        <f>16+8</f>
        <v>24</v>
      </c>
      <c r="I62" s="33">
        <f>4+2</f>
        <v>6</v>
      </c>
      <c r="J62" s="23"/>
    </row>
    <row r="63" spans="1:10" ht="15" customHeight="1" x14ac:dyDescent="0.25">
      <c r="A63" s="31" t="s">
        <v>334</v>
      </c>
      <c r="B63" s="41" t="s">
        <v>318</v>
      </c>
      <c r="C63" s="39" t="s">
        <v>233</v>
      </c>
      <c r="D63" s="39" t="s">
        <v>232</v>
      </c>
      <c r="E63" s="39"/>
      <c r="F63" s="33">
        <v>1</v>
      </c>
      <c r="G63" s="33">
        <v>2</v>
      </c>
      <c r="H63" s="33">
        <v>24</v>
      </c>
      <c r="I63" s="33">
        <v>6</v>
      </c>
      <c r="J63" s="23"/>
    </row>
    <row r="64" spans="1:10" ht="15" customHeight="1" x14ac:dyDescent="0.25">
      <c r="A64" s="31" t="s">
        <v>334</v>
      </c>
      <c r="B64" s="41" t="s">
        <v>311</v>
      </c>
      <c r="C64" s="39" t="s">
        <v>245</v>
      </c>
      <c r="D64" s="39" t="s">
        <v>244</v>
      </c>
      <c r="E64" s="39"/>
      <c r="F64" s="36">
        <v>1</v>
      </c>
      <c r="G64" s="36">
        <v>2</v>
      </c>
      <c r="H64" s="36">
        <v>6</v>
      </c>
      <c r="I64" s="36">
        <v>1</v>
      </c>
      <c r="J64" s="22"/>
    </row>
    <row r="65" spans="1:10" s="25" customFormat="1" ht="15" hidden="1" customHeight="1" x14ac:dyDescent="0.25">
      <c r="A65" s="31" t="s">
        <v>334</v>
      </c>
      <c r="B65" s="42" t="s">
        <v>312</v>
      </c>
      <c r="C65" s="44" t="s">
        <v>253</v>
      </c>
      <c r="D65" s="44" t="s">
        <v>252</v>
      </c>
      <c r="E65" s="44"/>
      <c r="F65" s="37">
        <v>0</v>
      </c>
      <c r="G65" s="37">
        <v>0</v>
      </c>
      <c r="H65" s="37">
        <v>4</v>
      </c>
      <c r="I65" s="37">
        <v>0</v>
      </c>
    </row>
    <row r="66" spans="1:10" ht="15" customHeight="1" x14ac:dyDescent="0.25">
      <c r="A66" s="31" t="s">
        <v>334</v>
      </c>
      <c r="B66" s="41" t="s">
        <v>313</v>
      </c>
      <c r="C66" s="39" t="s">
        <v>248</v>
      </c>
      <c r="D66" s="39" t="s">
        <v>249</v>
      </c>
      <c r="E66" s="39"/>
      <c r="F66" s="36">
        <v>0</v>
      </c>
      <c r="G66" s="36">
        <v>4</v>
      </c>
      <c r="H66" s="36">
        <v>22</v>
      </c>
      <c r="I66" s="36">
        <v>2</v>
      </c>
      <c r="J66" s="22"/>
    </row>
    <row r="67" spans="1:10" ht="15" customHeight="1" x14ac:dyDescent="0.25">
      <c r="A67" s="31" t="s">
        <v>334</v>
      </c>
      <c r="B67" s="41" t="s">
        <v>314</v>
      </c>
      <c r="C67" s="39" t="s">
        <v>204</v>
      </c>
      <c r="D67" s="39" t="s">
        <v>203</v>
      </c>
      <c r="E67" s="39"/>
      <c r="F67" s="36">
        <v>0</v>
      </c>
      <c r="G67" s="36">
        <v>0</v>
      </c>
      <c r="H67" s="36">
        <v>0</v>
      </c>
      <c r="I67" s="36">
        <v>0</v>
      </c>
      <c r="J67" s="22"/>
    </row>
    <row r="68" spans="1:10" ht="15" customHeight="1" x14ac:dyDescent="0.25">
      <c r="A68" s="31" t="s">
        <v>334</v>
      </c>
      <c r="B68" s="41" t="s">
        <v>315</v>
      </c>
      <c r="C68" s="39" t="s">
        <v>260</v>
      </c>
      <c r="D68" s="39" t="s">
        <v>205</v>
      </c>
      <c r="E68" s="39"/>
      <c r="F68" s="32">
        <v>0</v>
      </c>
      <c r="G68" s="32">
        <v>2</v>
      </c>
      <c r="H68" s="32">
        <v>8</v>
      </c>
      <c r="I68" s="32">
        <v>4</v>
      </c>
      <c r="J68" s="2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6" tint="0.59999389629810485"/>
  </sheetPr>
  <dimension ref="A1:F29"/>
  <sheetViews>
    <sheetView workbookViewId="0">
      <pane ySplit="1" topLeftCell="A11" activePane="bottomLeft" state="frozen"/>
      <selection pane="bottomLeft" activeCell="B19" sqref="B19"/>
    </sheetView>
  </sheetViews>
  <sheetFormatPr baseColWidth="10" defaultColWidth="9.140625" defaultRowHeight="15" x14ac:dyDescent="0.25"/>
  <cols>
    <col min="1" max="2" width="31.28515625" style="1" bestFit="1" customWidth="1"/>
    <col min="3" max="3" width="24.7109375" style="1" hidden="1" customWidth="1"/>
    <col min="4" max="4" width="26.42578125" style="1" bestFit="1" customWidth="1"/>
    <col min="5" max="5" width="26.5703125" style="8" bestFit="1" customWidth="1"/>
    <col min="6" max="6" width="45.7109375" style="8" customWidth="1"/>
    <col min="7" max="16384" width="9.140625" style="1"/>
  </cols>
  <sheetData>
    <row r="1" spans="1:6" ht="30" customHeight="1" x14ac:dyDescent="0.25">
      <c r="A1" s="13" t="s">
        <v>67</v>
      </c>
      <c r="B1" s="13" t="s">
        <v>68</v>
      </c>
      <c r="C1" s="13" t="s">
        <v>69</v>
      </c>
      <c r="D1" s="14" t="s">
        <v>70</v>
      </c>
      <c r="E1" s="13" t="s">
        <v>71</v>
      </c>
      <c r="F1" s="13" t="s">
        <v>72</v>
      </c>
    </row>
    <row r="2" spans="1:6" x14ac:dyDescent="0.25">
      <c r="A2" s="7" t="s">
        <v>73</v>
      </c>
      <c r="B2" s="7" t="s">
        <v>73</v>
      </c>
      <c r="C2" s="2" t="s">
        <v>74</v>
      </c>
      <c r="D2" s="2" t="s">
        <v>75</v>
      </c>
      <c r="E2" s="7"/>
      <c r="F2" s="19" t="s">
        <v>76</v>
      </c>
    </row>
    <row r="3" spans="1:6" x14ac:dyDescent="0.25">
      <c r="A3" s="7" t="s">
        <v>77</v>
      </c>
      <c r="B3" s="18" t="s">
        <v>78</v>
      </c>
      <c r="C3" s="2" t="s">
        <v>79</v>
      </c>
      <c r="D3" s="2" t="s">
        <v>75</v>
      </c>
      <c r="E3" s="7"/>
      <c r="F3" s="18" t="s">
        <v>80</v>
      </c>
    </row>
    <row r="4" spans="1:6" x14ac:dyDescent="0.25">
      <c r="A4" s="7" t="s">
        <v>81</v>
      </c>
      <c r="B4" s="7" t="s">
        <v>81</v>
      </c>
      <c r="C4" s="2" t="s">
        <v>82</v>
      </c>
      <c r="D4" s="2" t="s">
        <v>83</v>
      </c>
      <c r="E4" s="7" t="s">
        <v>84</v>
      </c>
      <c r="F4" s="7"/>
    </row>
    <row r="5" spans="1:6" x14ac:dyDescent="0.25">
      <c r="A5" s="7" t="s">
        <v>85</v>
      </c>
      <c r="B5" s="7" t="s">
        <v>85</v>
      </c>
      <c r="C5" s="2" t="s">
        <v>86</v>
      </c>
      <c r="D5" s="2" t="s">
        <v>75</v>
      </c>
      <c r="E5" s="7" t="s">
        <v>87</v>
      </c>
      <c r="F5" s="7"/>
    </row>
    <row r="6" spans="1:6" x14ac:dyDescent="0.25">
      <c r="A6" s="7" t="s">
        <v>88</v>
      </c>
      <c r="B6" s="7" t="s">
        <v>88</v>
      </c>
      <c r="C6" s="2" t="s">
        <v>89</v>
      </c>
      <c r="D6" s="2" t="s">
        <v>83</v>
      </c>
      <c r="E6" s="7" t="s">
        <v>84</v>
      </c>
      <c r="F6" s="7"/>
    </row>
    <row r="7" spans="1:6" x14ac:dyDescent="0.25">
      <c r="A7" s="7" t="s">
        <v>90</v>
      </c>
      <c r="B7" s="7" t="s">
        <v>90</v>
      </c>
      <c r="C7" s="2" t="s">
        <v>91</v>
      </c>
      <c r="D7" s="2" t="s">
        <v>75</v>
      </c>
      <c r="E7" s="7" t="s">
        <v>92</v>
      </c>
      <c r="F7" s="7"/>
    </row>
    <row r="8" spans="1:6" x14ac:dyDescent="0.25">
      <c r="A8" s="7" t="s">
        <v>93</v>
      </c>
      <c r="B8" s="7" t="s">
        <v>93</v>
      </c>
      <c r="C8" s="2" t="s">
        <v>94</v>
      </c>
      <c r="D8" s="2" t="s">
        <v>75</v>
      </c>
      <c r="E8" s="7"/>
      <c r="F8" s="7"/>
    </row>
    <row r="9" spans="1:6" x14ac:dyDescent="0.25">
      <c r="A9" s="7" t="s">
        <v>95</v>
      </c>
      <c r="B9" s="7" t="s">
        <v>95</v>
      </c>
      <c r="C9" s="2" t="s">
        <v>96</v>
      </c>
      <c r="D9" s="2" t="s">
        <v>75</v>
      </c>
      <c r="E9" s="7"/>
      <c r="F9" s="7"/>
    </row>
    <row r="10" spans="1:6" x14ac:dyDescent="0.25">
      <c r="A10" s="7" t="s">
        <v>97</v>
      </c>
      <c r="B10" s="7" t="s">
        <v>97</v>
      </c>
      <c r="C10" s="2" t="s">
        <v>98</v>
      </c>
      <c r="D10" s="2" t="s">
        <v>75</v>
      </c>
      <c r="E10" s="7" t="s">
        <v>92</v>
      </c>
      <c r="F10" s="7"/>
    </row>
    <row r="11" spans="1:6" x14ac:dyDescent="0.25">
      <c r="A11" s="7" t="s">
        <v>99</v>
      </c>
      <c r="B11" s="7" t="s">
        <v>99</v>
      </c>
      <c r="C11" s="2" t="s">
        <v>100</v>
      </c>
      <c r="D11" s="2" t="s">
        <v>75</v>
      </c>
      <c r="E11" s="7"/>
      <c r="F11" s="7"/>
    </row>
    <row r="12" spans="1:6" x14ac:dyDescent="0.25">
      <c r="A12" s="7" t="s">
        <v>101</v>
      </c>
      <c r="B12" s="7" t="s">
        <v>101</v>
      </c>
      <c r="C12" s="2" t="s">
        <v>102</v>
      </c>
      <c r="D12" s="2" t="s">
        <v>75</v>
      </c>
      <c r="E12" s="7"/>
      <c r="F12" s="7"/>
    </row>
    <row r="13" spans="1:6" x14ac:dyDescent="0.25">
      <c r="A13" s="7" t="s">
        <v>103</v>
      </c>
      <c r="B13" s="7" t="s">
        <v>103</v>
      </c>
      <c r="C13" s="2" t="s">
        <v>104</v>
      </c>
      <c r="D13" s="2" t="s">
        <v>75</v>
      </c>
      <c r="E13" s="7" t="s">
        <v>105</v>
      </c>
      <c r="F13" s="7"/>
    </row>
    <row r="14" spans="1:6" x14ac:dyDescent="0.25">
      <c r="A14" s="7" t="s">
        <v>106</v>
      </c>
      <c r="B14" s="18" t="s">
        <v>107</v>
      </c>
      <c r="C14" s="2" t="s">
        <v>108</v>
      </c>
      <c r="D14" s="2" t="s">
        <v>83</v>
      </c>
      <c r="E14" s="7" t="s">
        <v>84</v>
      </c>
      <c r="F14" s="18" t="s">
        <v>80</v>
      </c>
    </row>
    <row r="15" spans="1:6" x14ac:dyDescent="0.25">
      <c r="A15" s="7" t="s">
        <v>109</v>
      </c>
      <c r="B15" s="18" t="s">
        <v>63</v>
      </c>
      <c r="C15" s="2" t="s">
        <v>110</v>
      </c>
      <c r="D15" s="2" t="s">
        <v>83</v>
      </c>
      <c r="E15" s="7" t="s">
        <v>84</v>
      </c>
      <c r="F15" s="18" t="s">
        <v>80</v>
      </c>
    </row>
    <row r="16" spans="1:6" x14ac:dyDescent="0.25">
      <c r="A16" s="7" t="s">
        <v>111</v>
      </c>
      <c r="B16" s="18" t="s">
        <v>112</v>
      </c>
      <c r="C16" s="2" t="s">
        <v>113</v>
      </c>
      <c r="D16" s="2" t="s">
        <v>83</v>
      </c>
      <c r="E16" s="7" t="s">
        <v>84</v>
      </c>
      <c r="F16" s="18" t="s">
        <v>80</v>
      </c>
    </row>
    <row r="17" spans="1:6" x14ac:dyDescent="0.25">
      <c r="A17" s="7" t="s">
        <v>114</v>
      </c>
      <c r="B17" s="18" t="s">
        <v>115</v>
      </c>
      <c r="C17" s="2" t="s">
        <v>116</v>
      </c>
      <c r="D17" s="2" t="s">
        <v>83</v>
      </c>
      <c r="E17" s="7" t="s">
        <v>84</v>
      </c>
      <c r="F17" s="18" t="s">
        <v>80</v>
      </c>
    </row>
    <row r="18" spans="1:6" x14ac:dyDescent="0.25">
      <c r="A18" s="7" t="s">
        <v>117</v>
      </c>
      <c r="B18" s="18" t="s">
        <v>62</v>
      </c>
      <c r="C18" s="2" t="s">
        <v>118</v>
      </c>
      <c r="D18" s="2" t="s">
        <v>83</v>
      </c>
      <c r="E18" s="7" t="s">
        <v>84</v>
      </c>
      <c r="F18" s="18" t="s">
        <v>80</v>
      </c>
    </row>
    <row r="19" spans="1:6" x14ac:dyDescent="0.25">
      <c r="A19" s="7" t="s">
        <v>119</v>
      </c>
      <c r="B19" s="18" t="s">
        <v>120</v>
      </c>
      <c r="C19" s="2" t="s">
        <v>121</v>
      </c>
      <c r="D19" s="2" t="s">
        <v>83</v>
      </c>
      <c r="E19" s="7" t="s">
        <v>84</v>
      </c>
      <c r="F19" s="18" t="s">
        <v>80</v>
      </c>
    </row>
    <row r="20" spans="1:6" x14ac:dyDescent="0.25">
      <c r="A20" s="7" t="s">
        <v>122</v>
      </c>
      <c r="B20" s="18" t="s">
        <v>64</v>
      </c>
      <c r="C20" s="2" t="s">
        <v>123</v>
      </c>
      <c r="D20" s="2" t="s">
        <v>83</v>
      </c>
      <c r="E20" s="7" t="s">
        <v>84</v>
      </c>
      <c r="F20" s="18" t="s">
        <v>80</v>
      </c>
    </row>
    <row r="21" spans="1:6" x14ac:dyDescent="0.25">
      <c r="A21" s="7" t="s">
        <v>124</v>
      </c>
      <c r="B21" s="18" t="s">
        <v>125</v>
      </c>
      <c r="C21" s="2" t="s">
        <v>126</v>
      </c>
      <c r="D21" s="2" t="s">
        <v>83</v>
      </c>
      <c r="E21" s="7" t="s">
        <v>84</v>
      </c>
      <c r="F21" s="18" t="s">
        <v>80</v>
      </c>
    </row>
    <row r="22" spans="1:6" x14ac:dyDescent="0.25">
      <c r="A22" s="7" t="s">
        <v>127</v>
      </c>
      <c r="B22" s="7" t="s">
        <v>127</v>
      </c>
      <c r="C22" s="2" t="s">
        <v>128</v>
      </c>
      <c r="D22" s="2" t="s">
        <v>75</v>
      </c>
      <c r="E22" s="7" t="s">
        <v>92</v>
      </c>
      <c r="F22" s="7"/>
    </row>
    <row r="23" spans="1:6" x14ac:dyDescent="0.25">
      <c r="A23" s="7" t="s">
        <v>129</v>
      </c>
      <c r="B23" s="7" t="s">
        <v>129</v>
      </c>
      <c r="C23" s="2" t="s">
        <v>130</v>
      </c>
      <c r="D23" s="2" t="s">
        <v>75</v>
      </c>
      <c r="E23" s="7" t="s">
        <v>92</v>
      </c>
      <c r="F23" s="7"/>
    </row>
    <row r="24" spans="1:6" x14ac:dyDescent="0.25">
      <c r="A24" s="7" t="s">
        <v>131</v>
      </c>
      <c r="B24" s="7" t="s">
        <v>131</v>
      </c>
      <c r="C24" s="2" t="s">
        <v>132</v>
      </c>
      <c r="D24" s="2" t="s">
        <v>75</v>
      </c>
      <c r="E24" s="7" t="s">
        <v>92</v>
      </c>
      <c r="F24" s="7"/>
    </row>
    <row r="25" spans="1:6" x14ac:dyDescent="0.25">
      <c r="A25" s="7" t="s">
        <v>133</v>
      </c>
      <c r="B25" s="7" t="s">
        <v>133</v>
      </c>
      <c r="C25" s="2" t="s">
        <v>134</v>
      </c>
      <c r="D25" s="2" t="s">
        <v>75</v>
      </c>
      <c r="E25" s="7" t="s">
        <v>92</v>
      </c>
      <c r="F25" s="7"/>
    </row>
    <row r="26" spans="1:6" x14ac:dyDescent="0.25">
      <c r="A26" s="7" t="s">
        <v>135</v>
      </c>
      <c r="B26" s="18" t="s">
        <v>136</v>
      </c>
      <c r="C26" s="2" t="s">
        <v>137</v>
      </c>
      <c r="D26" s="2" t="s">
        <v>83</v>
      </c>
      <c r="E26" s="7" t="s">
        <v>84</v>
      </c>
      <c r="F26" s="18" t="s">
        <v>80</v>
      </c>
    </row>
    <row r="27" spans="1:6" x14ac:dyDescent="0.25">
      <c r="A27" s="7" t="s">
        <v>138</v>
      </c>
      <c r="B27" s="18" t="s">
        <v>66</v>
      </c>
      <c r="C27" s="2" t="s">
        <v>139</v>
      </c>
      <c r="D27" s="2" t="s">
        <v>83</v>
      </c>
      <c r="E27" s="7" t="s">
        <v>84</v>
      </c>
      <c r="F27" s="18" t="s">
        <v>80</v>
      </c>
    </row>
    <row r="28" spans="1:6" x14ac:dyDescent="0.25">
      <c r="A28" s="7" t="s">
        <v>140</v>
      </c>
      <c r="B28" s="19" t="s">
        <v>141</v>
      </c>
      <c r="C28" s="2" t="s">
        <v>142</v>
      </c>
      <c r="D28" s="2" t="s">
        <v>75</v>
      </c>
      <c r="E28" s="7"/>
      <c r="F28" s="19" t="s">
        <v>143</v>
      </c>
    </row>
    <row r="29" spans="1:6" x14ac:dyDescent="0.25">
      <c r="A29" s="7" t="s">
        <v>144</v>
      </c>
      <c r="B29" s="18" t="s">
        <v>65</v>
      </c>
      <c r="C29" s="2" t="s">
        <v>145</v>
      </c>
      <c r="D29" s="2" t="s">
        <v>75</v>
      </c>
      <c r="E29" s="7"/>
      <c r="F29" s="18" t="s">
        <v>80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6DAE1702587419A715CC8ED238231" ma:contentTypeVersion="14" ma:contentTypeDescription="Create a new document." ma:contentTypeScope="" ma:versionID="a1bd4f421d20f2da4ecdf945d8cd958f">
  <xsd:schema xmlns:xsd="http://www.w3.org/2001/XMLSchema" xmlns:xs="http://www.w3.org/2001/XMLSchema" xmlns:p="http://schemas.microsoft.com/office/2006/metadata/properties" xmlns:ns2="cf70b480-b0bc-406e-987a-64a68a9b44d7" xmlns:ns3="8e40d5a5-305a-409b-80c8-b057fc79fc36" targetNamespace="http://schemas.microsoft.com/office/2006/metadata/properties" ma:root="true" ma:fieldsID="c85c121f20306c7482afe084aca0ace0" ns2:_="" ns3:_="">
    <xsd:import namespace="cf70b480-b0bc-406e-987a-64a68a9b44d7"/>
    <xsd:import namespace="8e40d5a5-305a-409b-80c8-b057fc79fc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b480-b0bc-406e-987a-64a68a9b44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0d5a5-305a-409b-80c8-b057fc79f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3400fd0-abdf-4a92-b0a9-5eab5ba12644}" ma:internalName="TaxCatchAll" ma:showField="CatchAllData" ma:web="8e40d5a5-305a-409b-80c8-b057fc79fc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70b480-b0bc-406e-987a-64a68a9b44d7">
      <Terms xmlns="http://schemas.microsoft.com/office/infopath/2007/PartnerControls"/>
    </lcf76f155ced4ddcb4097134ff3c332f>
    <TaxCatchAll xmlns="8e40d5a5-305a-409b-80c8-b057fc79fc36" xsi:nil="true"/>
  </documentManagement>
</p:properties>
</file>

<file path=customXml/itemProps1.xml><?xml version="1.0" encoding="utf-8"?>
<ds:datastoreItem xmlns:ds="http://schemas.openxmlformats.org/officeDocument/2006/customXml" ds:itemID="{6D66F832-EB09-4D36-9E22-6BFDC7008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70b480-b0bc-406e-987a-64a68a9b44d7"/>
    <ds:schemaRef ds:uri="8e40d5a5-305a-409b-80c8-b057fc79f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C3A751-FBBD-4EBA-A78F-8E17D19A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3CF102-C622-4933-B216-612183747A7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8e40d5a5-305a-409b-80c8-b057fc79fc36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f70b480-b0bc-406e-987a-64a68a9b44d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Instructions for Use</vt:lpstr>
      <vt:lpstr>DocumentEtude</vt:lpstr>
      <vt:lpstr>Dictionary</vt:lpstr>
      <vt:lpstr>DocumentEtude!Zone_d_impression</vt:lpstr>
      <vt:lpstr>'Instructions for Use'!Zone_d_impression</vt:lpstr>
    </vt:vector>
  </TitlesOfParts>
  <Manager/>
  <Company>Technip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xVDB Import Forecast List rev0</dc:title>
  <dc:subject/>
  <dc:creator>Beatrice Lelievre</dc:creator>
  <cp:keywords/>
  <dc:description/>
  <cp:lastModifiedBy>Sabeh Abidi</cp:lastModifiedBy>
  <cp:revision/>
  <cp:lastPrinted>2022-08-09T11:19:41Z</cp:lastPrinted>
  <dcterms:created xsi:type="dcterms:W3CDTF">2014-03-30T22:02:31Z</dcterms:created>
  <dcterms:modified xsi:type="dcterms:W3CDTF">2023-06-15T10:12:12Z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0x0101009626DAE1702587419A715CC8ED238231</vt:lpwstr>
  </property>
  <property fmtid="{D5CDD505-2E9C-101B-9397-08002B2CF9AE}" pid="3" name="MSIP_Label_3b48b937-0ae3-46f5-b32e-f3232b5be847_Enabled">
    <vt:lpwstr>True</vt:lpwstr>
  </property>
  <property fmtid="{D5CDD505-2E9C-101B-9397-08002B2CF9AE}" pid="4" name="MSIP_Label_3b48b937-0ae3-46f5-b32e-f3232b5be847_SiteId">
    <vt:lpwstr>9179d01a-e94c-4488-b5f0-4554bc474f8c</vt:lpwstr>
  </property>
  <property fmtid="{D5CDD505-2E9C-101B-9397-08002B2CF9AE}" pid="5" name="MSIP_Label_3b48b937-0ae3-46f5-b32e-f3232b5be847_Owner">
    <vt:lpwstr>sandrine.reymond@technipfmc.com</vt:lpwstr>
  </property>
  <property fmtid="{D5CDD505-2E9C-101B-9397-08002B2CF9AE}" pid="6" name="MSIP_Label_3b48b937-0ae3-46f5-b32e-f3232b5be847_SetDate">
    <vt:lpwstr>2020-11-13T11:26:11.9215629Z</vt:lpwstr>
  </property>
  <property fmtid="{D5CDD505-2E9C-101B-9397-08002B2CF9AE}" pid="7" name="MSIP_Label_3b48b937-0ae3-46f5-b32e-f3232b5be847_Name">
    <vt:lpwstr>General</vt:lpwstr>
  </property>
  <property fmtid="{D5CDD505-2E9C-101B-9397-08002B2CF9AE}" pid="8" name="MSIP_Label_3b48b937-0ae3-46f5-b32e-f3232b5be847_Application">
    <vt:lpwstr>Microsoft Azure Information Protection</vt:lpwstr>
  </property>
  <property fmtid="{D5CDD505-2E9C-101B-9397-08002B2CF9AE}" pid="9" name="MSIP_Label_3b48b937-0ae3-46f5-b32e-f3232b5be847_Extended_MSFT_Method">
    <vt:lpwstr>Automatic</vt:lpwstr>
  </property>
  <property fmtid="{D5CDD505-2E9C-101B-9397-08002B2CF9AE}" pid="10" name="MSIP_Label_8f79752b-c5ee-4ad3-a24f-e300e7b653f3_Enabled">
    <vt:lpwstr>True</vt:lpwstr>
  </property>
  <property fmtid="{D5CDD505-2E9C-101B-9397-08002B2CF9AE}" pid="11" name="MSIP_Label_8f79752b-c5ee-4ad3-a24f-e300e7b653f3_SiteId">
    <vt:lpwstr>9179d01a-e94c-4488-b5f0-4554bc474f8c</vt:lpwstr>
  </property>
  <property fmtid="{D5CDD505-2E9C-101B-9397-08002B2CF9AE}" pid="12" name="MSIP_Label_8f79752b-c5ee-4ad3-a24f-e300e7b653f3_Owner">
    <vt:lpwstr>sandrine.reymond@technipfmc.com</vt:lpwstr>
  </property>
  <property fmtid="{D5CDD505-2E9C-101B-9397-08002B2CF9AE}" pid="13" name="MSIP_Label_8f79752b-c5ee-4ad3-a24f-e300e7b653f3_SetDate">
    <vt:lpwstr>2020-11-13T11:26:11.9215629Z</vt:lpwstr>
  </property>
  <property fmtid="{D5CDD505-2E9C-101B-9397-08002B2CF9AE}" pid="14" name="MSIP_Label_8f79752b-c5ee-4ad3-a24f-e300e7b653f3_Name">
    <vt:lpwstr>Anyone - No Protection</vt:lpwstr>
  </property>
  <property fmtid="{D5CDD505-2E9C-101B-9397-08002B2CF9AE}" pid="15" name="MSIP_Label_8f79752b-c5ee-4ad3-a24f-e300e7b653f3_Application">
    <vt:lpwstr>Microsoft Azure Information Protection</vt:lpwstr>
  </property>
  <property fmtid="{D5CDD505-2E9C-101B-9397-08002B2CF9AE}" pid="16" name="MSIP_Label_8f79752b-c5ee-4ad3-a24f-e300e7b653f3_Parent">
    <vt:lpwstr>3b48b937-0ae3-46f5-b32e-f3232b5be847</vt:lpwstr>
  </property>
  <property fmtid="{D5CDD505-2E9C-101B-9397-08002B2CF9AE}" pid="17" name="MSIP_Label_8f79752b-c5ee-4ad3-a24f-e300e7b653f3_Extended_MSFT_Method">
    <vt:lpwstr>Automatic</vt:lpwstr>
  </property>
  <property fmtid="{D5CDD505-2E9C-101B-9397-08002B2CF9AE}" pid="18" name="Sensitivity">
    <vt:lpwstr>General Anyone - No Protection</vt:lpwstr>
  </property>
  <property fmtid="{D5CDD505-2E9C-101B-9397-08002B2CF9AE}" pid="19" name="MediaServiceImageTags">
    <vt:lpwstr/>
  </property>
</Properties>
</file>